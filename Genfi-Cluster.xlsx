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lphinicsus-my.sharepoint.us/personal/ben_dolphinicsus_com/Documents/Desktop/Training/"/>
    </mc:Choice>
  </mc:AlternateContent>
  <xr:revisionPtr revIDLastSave="19" documentId="13_ncr:1_{BBC8D1FC-BF4E-4179-A141-91AD26CC0660}" xr6:coauthVersionLast="47" xr6:coauthVersionMax="47" xr10:uidLastSave="{B2378636-7382-4E71-BFF6-BF4E15825A06}"/>
  <bookViews>
    <workbookView xWindow="-105" yWindow="0" windowWidth="26010" windowHeight="20985" activeTab="5" xr2:uid="{ADC4559C-552D-4B65-948B-8BFA3982C295}"/>
  </bookViews>
  <sheets>
    <sheet name="Nodes" sheetId="6" r:id="rId1"/>
    <sheet name="DMA_Bench" sheetId="1" r:id="rId2"/>
    <sheet name="SCIBench2" sheetId="2" r:id="rId3"/>
    <sheet name="SCIPP" sheetId="3" r:id="rId4"/>
    <sheet name="SCIMemcopyBench" sheetId="4" r:id="rId5"/>
    <sheet name="Intr_Bench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8" i="5" l="1"/>
  <c r="I8" i="5"/>
  <c r="J5" i="5"/>
  <c r="I5" i="5"/>
  <c r="T23" i="4"/>
  <c r="T24" i="4"/>
  <c r="T25" i="4"/>
  <c r="T26" i="4"/>
  <c r="T27" i="4"/>
  <c r="T28" i="4"/>
  <c r="T29" i="4"/>
  <c r="T30" i="4"/>
  <c r="T31" i="4"/>
  <c r="T21" i="4" s="1"/>
  <c r="T22" i="4"/>
  <c r="S23" i="4"/>
  <c r="S24" i="4"/>
  <c r="S25" i="4"/>
  <c r="S21" i="4" s="1"/>
  <c r="S26" i="4"/>
  <c r="S27" i="4"/>
  <c r="S28" i="4"/>
  <c r="S29" i="4"/>
  <c r="S30" i="4"/>
  <c r="S31" i="4"/>
  <c r="S22" i="4"/>
  <c r="T10" i="4"/>
  <c r="T11" i="4"/>
  <c r="T12" i="4"/>
  <c r="T13" i="4"/>
  <c r="T14" i="4"/>
  <c r="T15" i="4"/>
  <c r="T16" i="4"/>
  <c r="T17" i="4"/>
  <c r="T18" i="4"/>
  <c r="T9" i="4"/>
  <c r="S10" i="4"/>
  <c r="S11" i="4"/>
  <c r="S12" i="4"/>
  <c r="S13" i="4"/>
  <c r="S14" i="4"/>
  <c r="S15" i="4"/>
  <c r="S16" i="4"/>
  <c r="S17" i="4"/>
  <c r="S18" i="4"/>
  <c r="S9" i="4"/>
  <c r="G21" i="4"/>
  <c r="H21" i="4"/>
  <c r="I21" i="4"/>
  <c r="J21" i="4"/>
  <c r="K21" i="4"/>
  <c r="L21" i="4"/>
  <c r="M21" i="4"/>
  <c r="N21" i="4"/>
  <c r="O21" i="4"/>
  <c r="P21" i="4"/>
  <c r="Q21" i="4"/>
  <c r="F21" i="4"/>
  <c r="G9" i="4"/>
  <c r="H9" i="4"/>
  <c r="I9" i="4"/>
  <c r="J9" i="4"/>
  <c r="K9" i="4"/>
  <c r="L9" i="4"/>
  <c r="M9" i="4"/>
  <c r="N9" i="4"/>
  <c r="O9" i="4"/>
  <c r="P9" i="4"/>
  <c r="Q9" i="4"/>
  <c r="F9" i="4"/>
  <c r="K24" i="3"/>
  <c r="K25" i="3"/>
  <c r="K26" i="3"/>
  <c r="K27" i="3"/>
  <c r="K28" i="3"/>
  <c r="K29" i="3"/>
  <c r="K30" i="3"/>
  <c r="K31" i="3"/>
  <c r="K32" i="3"/>
  <c r="K23" i="3"/>
  <c r="K11" i="3"/>
  <c r="K12" i="3"/>
  <c r="K13" i="3"/>
  <c r="K14" i="3"/>
  <c r="K15" i="3"/>
  <c r="K16" i="3"/>
  <c r="K17" i="3"/>
  <c r="K18" i="3"/>
  <c r="K19" i="3"/>
  <c r="K10" i="3"/>
  <c r="J11" i="3"/>
  <c r="J12" i="3"/>
  <c r="J13" i="3"/>
  <c r="J14" i="3"/>
  <c r="J15" i="3"/>
  <c r="J16" i="3"/>
  <c r="J17" i="3"/>
  <c r="J18" i="3"/>
  <c r="J19" i="3"/>
  <c r="J10" i="3"/>
  <c r="J25" i="3"/>
  <c r="J26" i="3"/>
  <c r="J27" i="3"/>
  <c r="J28" i="3"/>
  <c r="J29" i="3"/>
  <c r="J30" i="3"/>
  <c r="J31" i="3"/>
  <c r="J32" i="3"/>
  <c r="J23" i="3"/>
  <c r="J24" i="3"/>
  <c r="J18" i="1"/>
  <c r="I18" i="1"/>
  <c r="J5" i="1"/>
  <c r="I5" i="1"/>
  <c r="I19" i="2"/>
  <c r="I6" i="2"/>
  <c r="J21" i="2"/>
  <c r="J22" i="2"/>
  <c r="J23" i="2"/>
  <c r="J24" i="2"/>
  <c r="J25" i="2"/>
  <c r="J26" i="2"/>
  <c r="J27" i="2"/>
  <c r="J29" i="2"/>
  <c r="J20" i="2"/>
  <c r="I21" i="2"/>
  <c r="I22" i="2"/>
  <c r="I23" i="2"/>
  <c r="I24" i="2"/>
  <c r="I25" i="2"/>
  <c r="I26" i="2"/>
  <c r="I27" i="2"/>
  <c r="I28" i="2"/>
  <c r="I29" i="2"/>
  <c r="I20" i="2"/>
  <c r="J8" i="2"/>
  <c r="J9" i="2"/>
  <c r="J10" i="2"/>
  <c r="J11" i="2"/>
  <c r="J12" i="2"/>
  <c r="J13" i="2"/>
  <c r="J14" i="2"/>
  <c r="J16" i="2"/>
  <c r="J7" i="2"/>
  <c r="I8" i="2"/>
  <c r="I9" i="2"/>
  <c r="I10" i="2"/>
  <c r="I11" i="2"/>
  <c r="I12" i="2"/>
  <c r="I13" i="2"/>
  <c r="I14" i="2"/>
  <c r="I15" i="2"/>
  <c r="I16" i="2"/>
  <c r="I7" i="2"/>
  <c r="T8" i="4" l="1"/>
  <c r="S8" i="4"/>
  <c r="K9" i="3"/>
  <c r="J22" i="3"/>
  <c r="J9" i="3"/>
  <c r="K22" i="3"/>
  <c r="J19" i="2"/>
  <c r="J6" i="2"/>
</calcChain>
</file>

<file path=xl/sharedStrings.xml><?xml version="1.0" encoding="utf-8"?>
<sst xmlns="http://schemas.openxmlformats.org/spreadsheetml/2006/main" count="465" uniqueCount="106">
  <si>
    <t>Hostname</t>
  </si>
  <si>
    <t>NodeId</t>
  </si>
  <si>
    <t>Role</t>
  </si>
  <si>
    <t>OS Family</t>
  </si>
  <si>
    <t>Current Kernel</t>
  </si>
  <si>
    <t>dis_diag Version</t>
  </si>
  <si>
    <t>Driver Version</t>
  </si>
  <si>
    <t>ExpressWare Release</t>
  </si>
  <si>
    <t>Adapter Type</t>
  </si>
  <si>
    <t>Mode</t>
  </si>
  <si>
    <t>Adapter Serial</t>
  </si>
  <si>
    <t>BDF</t>
  </si>
  <si>
    <t>Topology Type</t>
  </si>
  <si>
    <t>Enabled Links</t>
  </si>
  <si>
    <t>PCIe Upstream State</t>
  </si>
  <si>
    <t>Link 0 State</t>
  </si>
  <si>
    <t>Link 0 Width/Speed</t>
  </si>
  <si>
    <t>Link Required</t>
  </si>
  <si>
    <t>Partner Adapter Type</t>
  </si>
  <si>
    <t>Partner Serial</t>
  </si>
  <si>
    <t>Nodes Detected</t>
  </si>
  <si>
    <t>Session Node 4</t>
  </si>
  <si>
    <t>Session Node 8</t>
  </si>
  <si>
    <t>Warnings</t>
  </si>
  <si>
    <t>Errors</t>
  </si>
  <si>
    <t>Test Result</t>
  </si>
  <si>
    <t>genfi-5</t>
  </si>
  <si>
    <t>Dolphin node in 2-node setup (peer with genfi-6)</t>
  </si>
  <si>
    <t>EL9-based system</t>
  </si>
  <si>
    <t>Linux genfi-5 5.14.0-687.12.1.el9_8.x86_64</t>
  </si>
  <si>
    <t>5.25.2</t>
  </si>
  <si>
    <t>Dolphin IRM (GX) 5.25.2</t>
  </si>
  <si>
    <t>DIS_RELEASE_5_25_2_APR_24_2026</t>
  </si>
  <si>
    <t>MXH930</t>
  </si>
  <si>
    <t>NTB</t>
  </si>
  <si>
    <t>MXH930-DE-0000-002377</t>
  </si>
  <si>
    <t>Direct 2 nodes</t>
  </si>
  <si>
    <t>x16, Gen4 (16 GT/s)</t>
  </si>
  <si>
    <t>ENABLED</t>
  </si>
  <si>
    <t>x16 Gen4</t>
  </si>
  <si>
    <t>n/a</t>
  </si>
  <si>
    <t>MXH930-000089</t>
  </si>
  <si>
    <t>0004 0008</t>
  </si>
  <si>
    <t>valid</t>
  </si>
  <si>
    <t>PASSED</t>
  </si>
  <si>
    <t>genfi-6</t>
  </si>
  <si>
    <t>Dolphin node in 2-node direct topology</t>
  </si>
  <si>
    <t>Linux genfi-6 5.14.0-708.el9.x86_64 #1 SMP</t>
  </si>
  <si>
    <t>MXH930-CF-0000-000089</t>
  </si>
  <si>
    <t>x8 Gen3</t>
  </si>
  <si>
    <t>MXH930-002377</t>
  </si>
  <si>
    <t>Run1</t>
  </si>
  <si>
    <t>Genfi-5</t>
  </si>
  <si>
    <t>Genfi-6</t>
  </si>
  <si>
    <t xml:space="preserve">client </t>
  </si>
  <si>
    <t>command</t>
  </si>
  <si>
    <t>./dma_bench -rn 8 -client</t>
  </si>
  <si>
    <t>size</t>
  </si>
  <si>
    <t>latency</t>
  </si>
  <si>
    <t>throughput</t>
  </si>
  <si>
    <t>Server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</si>
  <si>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</si>
  <si>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</si>
  <si>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</si>
  <si>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</si>
  <si>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</si>
  <si>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</si>
  <si>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</si>
  <si>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</si>
  <si>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</si>
  <si>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</si>
  <si>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</si>
  <si>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</si>
  <si>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</si>
  <si>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</si>
  <si>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</si>
  <si>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</si>
  <si>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</si>
  <si>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</si>
  <si>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</si>
  <si>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./dma_bench -rn 8 -server</t>
  </si>
  <si>
    <t>Genfi-6 Server</t>
  </si>
  <si>
    <t>Genfi-5 Server</t>
  </si>
  <si>
    <t>DMA Bench Genfi Cluster</t>
  </si>
  <si>
    <t>SCIBench2 for Genfi Cluster</t>
  </si>
  <si>
    <t>Latency Compare</t>
  </si>
  <si>
    <t>Throughput Compare</t>
  </si>
  <si>
    <t>scibench2 -rn 8 -client</t>
  </si>
  <si>
    <t>scibench2 -rn 8 -server</t>
  </si>
  <si>
    <t>SCIPP for Genfi Cluster</t>
  </si>
  <si>
    <t>retries</t>
  </si>
  <si>
    <t>Effective Throughput</t>
  </si>
  <si>
    <t>latency (rtt)</t>
  </si>
  <si>
    <t>SCIMemcopy for Genfi Cluster</t>
  </si>
  <si>
    <t xml:space="preserve">sciMemCopy_OS_COPY </t>
  </si>
  <si>
    <t>Throughput</t>
  </si>
  <si>
    <t>Latency</t>
  </si>
  <si>
    <t>sciMemCopy_MEMCPY</t>
  </si>
  <si>
    <t>sciMemCopy_OS_COPY_Prefetc</t>
  </si>
  <si>
    <t>sciMemCopy_Loop_Prefetch</t>
  </si>
  <si>
    <t xml:space="preserve">sciMemCopy_16k_chunked_avx2 </t>
  </si>
  <si>
    <t xml:space="preserve">sciMemCopy_simple_loop </t>
  </si>
  <si>
    <t>Intr_Bench for Genfi Cluster</t>
  </si>
  <si>
    <t>trips</t>
  </si>
  <si>
    <t>1-Direction</t>
  </si>
  <si>
    <t>RTT 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</si>
</sst>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47" fontId="0" fillId="0" borderId="0" xfId="0" applyNumberFormat="1"/>
    <xf numFmtId="0" fontId="0" fillId="2" borderId="8" xfId="0" applyFill="1" applyBorder="1"/>
    <xf numFmtId="0" fontId="0" fillId="3" borderId="8" xfId="0" applyFill="1" applyBorder="1"/>
    <xf numFmtId="0" fontId="0" fillId="2" borderId="9" xfId="0" applyFill="1" applyBorder="1"/>
    <xf numFmtId="0" fontId="0" fillId="5" borderId="0" xfId="0" applyFill="1"/>
    <xf numFmtId="0" fontId="0" fillId="3" borderId="14" xfId="0" applyFill="1" applyBorder="1"/>
    <xf numFmtId="2" fontId="0" fillId="2" borderId="1" xfId="0" applyNumberFormat="1" applyFill="1" applyBorder="1"/>
    <xf numFmtId="0" fontId="0" fillId="2" borderId="1" xfId="0" applyFill="1" applyBorder="1"/>
    <xf numFmtId="47" fontId="0" fillId="3" borderId="8" xfId="0" applyNumberFormat="1" applyFill="1" applyBorder="1"/>
    <xf numFmtId="2" fontId="0" fillId="3" borderId="14" xfId="0" applyNumberFormat="1" applyFill="1" applyBorder="1"/>
    <xf numFmtId="2" fontId="0" fillId="3" borderId="8" xfId="0" applyNumberFormat="1" applyFill="1" applyBorder="1"/>
    <xf numFmtId="0" fontId="0" fillId="2" borderId="16" xfId="0" applyFill="1" applyBorder="1"/>
    <xf numFmtId="2" fontId="0" fillId="5" borderId="17" xfId="0" applyNumberFormat="1" applyFill="1" applyBorder="1"/>
    <xf numFmtId="2" fontId="0" fillId="2" borderId="8" xfId="0" applyNumberFormat="1" applyFill="1" applyBorder="1"/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8" xfId="0" applyFill="1" applyBorder="1" applyAlignment="1">
      <alignment horizontal="center"/>
    </xf>
  </cellXfs>
  <cellStyles count="1">
    <cellStyle name="Normal" xfId="0" builtinId="0"/>
  </cellStyles>
  <dxfs count="1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DMA_Bench!$I$4:$I$5</c:f>
              <c:strCache>
                <c:ptCount val="2"/>
                <c:pt idx="0">
                  <c:v>Genfi-6 Server</c:v>
                </c:pt>
                <c:pt idx="1">
                  <c:v>38.48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DMA_Bench!$I$6:$I$15</c:f>
              <c:numCache>
                <c:formatCode>General</c:formatCode>
                <c:ptCount val="10"/>
                <c:pt idx="0">
                  <c:v>36.659999999999997</c:v>
                </c:pt>
                <c:pt idx="1">
                  <c:v>38.590000000000003</c:v>
                </c:pt>
                <c:pt idx="2">
                  <c:v>38.619999999999997</c:v>
                </c:pt>
                <c:pt idx="3">
                  <c:v>38.549999999999997</c:v>
                </c:pt>
                <c:pt idx="4">
                  <c:v>38.78</c:v>
                </c:pt>
                <c:pt idx="5">
                  <c:v>38.81</c:v>
                </c:pt>
                <c:pt idx="6">
                  <c:v>38.78</c:v>
                </c:pt>
                <c:pt idx="7">
                  <c:v>38.590000000000003</c:v>
                </c:pt>
                <c:pt idx="8">
                  <c:v>38.79</c:v>
                </c:pt>
                <c:pt idx="9">
                  <c:v>38.659999999999997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0A-4E64-A061-829563EB0143}"/>
            </c:ext>
          </c:extLst>
        </c:ser>
        <c:ser>
          <c:idx val="1"/>
          <c:order val="1"/>
          <c:tx>
            <c:strRef>
              <c:f>DMA_Bench!$J$4:$J$5</c:f>
              <c:strCache>
                <c:ptCount val="2"/>
                <c:pt idx="0">
                  <c:v>Genfi-5 Server</c:v>
                </c:pt>
                <c:pt idx="1">
                  <c:v>36.04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DMA_Bench!$J$6:$J$15</c:f>
              <c:numCache>
                <c:formatCode>General</c:formatCode>
                <c:ptCount val="10"/>
                <c:pt idx="0">
                  <c:v>36.65</c:v>
                </c:pt>
                <c:pt idx="1">
                  <c:v>36.909999999999997</c:v>
                </c:pt>
                <c:pt idx="2">
                  <c:v>36.79</c:v>
                </c:pt>
                <c:pt idx="3">
                  <c:v>37.15</c:v>
                </c:pt>
                <c:pt idx="4">
                  <c:v>38.67</c:v>
                </c:pt>
                <c:pt idx="5">
                  <c:v>36.79</c:v>
                </c:pt>
                <c:pt idx="6">
                  <c:v>37.03</c:v>
                </c:pt>
                <c:pt idx="7">
                  <c:v>36.85</c:v>
                </c:pt>
                <c:pt idx="8">
                  <c:v>26.77</c:v>
                </c:pt>
                <c:pt idx="9">
                  <c:v>36.75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0A-4E64-A061-829563EB0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2591888"/>
        <c:axId val="1269088640"/>
      </c:lineChart>
      <c:catAx>
        <c:axId val="292591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</a:t>
                </a:r>
                <a:r>
                  <a:rPr lang="en-US" baseline="0"/>
                  <a:t> #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088640"/>
        <c:crosses val="autoZero"/>
        <c:auto val="1"/>
        <c:lblAlgn val="ctr"/>
        <c:lblOffset val="100"/>
        <c:noMultiLvlLbl val="0"/>
      </c:catAx>
      <c:valAx>
        <c:axId val="126908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(us)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59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Thoroughput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DMA_Bench!$I$17:$I$18</c:f>
              <c:strCache>
                <c:ptCount val="2"/>
                <c:pt idx="0">
                  <c:v>Genfi-6 Server</c:v>
                </c:pt>
                <c:pt idx="1">
                  <c:v>13627.26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DMA_Bench!$I$19:$I$28</c:f>
              <c:numCache>
                <c:formatCode>General</c:formatCode>
                <c:ptCount val="10"/>
                <c:pt idx="0">
                  <c:v>14301.36</c:v>
                </c:pt>
                <c:pt idx="1">
                  <c:v>13584.7</c:v>
                </c:pt>
                <c:pt idx="2">
                  <c:v>13575.56</c:v>
                </c:pt>
                <c:pt idx="3">
                  <c:v>13600.21</c:v>
                </c:pt>
                <c:pt idx="4">
                  <c:v>13518.5</c:v>
                </c:pt>
                <c:pt idx="5">
                  <c:v>13510.49</c:v>
                </c:pt>
                <c:pt idx="6">
                  <c:v>13517.8</c:v>
                </c:pt>
                <c:pt idx="7">
                  <c:v>13584.35</c:v>
                </c:pt>
                <c:pt idx="8">
                  <c:v>13517.11</c:v>
                </c:pt>
                <c:pt idx="9">
                  <c:v>13562.56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03-4C01-B448-C12E67ED9F4A}"/>
            </c:ext>
          </c:extLst>
        </c:ser>
        <c:ser>
          <c:idx val="1"/>
          <c:order val="1"/>
          <c:tx>
            <c:strRef>
              <c:f>DMA_Bench!$J$17:$J$18</c:f>
              <c:strCache>
                <c:ptCount val="2"/>
                <c:pt idx="0">
                  <c:v>Genfi-5 Server</c:v>
                </c:pt>
                <c:pt idx="1">
                  <c:v>14691.63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DMA_Bench!$J$19:$J$28</c:f>
              <c:numCache>
                <c:formatCode>General</c:formatCode>
                <c:ptCount val="10"/>
                <c:pt idx="0">
                  <c:v>14304.88</c:v>
                </c:pt>
                <c:pt idx="1">
                  <c:v>14204.88</c:v>
                </c:pt>
                <c:pt idx="2">
                  <c:v>14249.67</c:v>
                </c:pt>
                <c:pt idx="3">
                  <c:v>14114.25</c:v>
                </c:pt>
                <c:pt idx="4">
                  <c:v>13559.06</c:v>
                </c:pt>
                <c:pt idx="5">
                  <c:v>14250.05</c:v>
                </c:pt>
                <c:pt idx="6">
                  <c:v>14158.08</c:v>
                </c:pt>
                <c:pt idx="7">
                  <c:v>14226.47</c:v>
                </c:pt>
                <c:pt idx="8">
                  <c:v>19584.18</c:v>
                </c:pt>
                <c:pt idx="9">
                  <c:v>14264.79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03-4C01-B448-C12E67ED9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4287232"/>
        <c:axId val="784282432"/>
      </c:lineChart>
      <c:catAx>
        <c:axId val="784287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</a:t>
                </a:r>
                <a:r>
                  <a:rPr lang="en-US" baseline="0"/>
                  <a:t> #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282432"/>
        <c:crosses val="autoZero"/>
        <c:auto val="1"/>
        <c:lblAlgn val="ctr"/>
        <c:lblOffset val="100"/>
        <c:noMultiLvlLbl val="0"/>
      </c:catAx>
      <c:valAx>
        <c:axId val="78428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</a:t>
                </a:r>
                <a:r>
                  <a:rPr lang="en-US" baseline="0"/>
                  <a:t> (MB/s)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28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SCIBench2!$I$5</c:f>
              <c:strCache>
                <c:ptCount val="1"/>
                <c:pt idx="0">
                  <c:v>Genfi-6 Server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SCIBench2!$I$6:$I$16</c:f>
              <c:numCache>
                <c:formatCode>General</c:formatCode>
                <c:ptCount val="11"/>
                <c:pt idx="0">
                  <c:v>3.8830000000000005</c:v>
                </c:pt>
                <c:pt idx="1">
                  <c:v>3.79</c:v>
                </c:pt>
                <c:pt idx="2">
                  <c:v>3.76</c:v>
                </c:pt>
                <c:pt idx="3">
                  <c:v>3.97</c:v>
                </c:pt>
                <c:pt idx="4">
                  <c:v>3.95</c:v>
                </c:pt>
                <c:pt idx="5">
                  <c:v>3.95</c:v>
                </c:pt>
                <c:pt idx="6">
                  <c:v>3.96</c:v>
                </c:pt>
                <c:pt idx="7">
                  <c:v>3.96</c:v>
                </c:pt>
                <c:pt idx="8">
                  <c:v>3.78</c:v>
                </c:pt>
                <c:pt idx="9">
                  <c:v>3.76</c:v>
                </c:pt>
                <c:pt idx="10">
                  <c:v>3.95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95-4C5B-A821-80D161653A11}"/>
            </c:ext>
          </c:extLst>
        </c:ser>
        <c:ser>
          <c:idx val="1"/>
          <c:order val="1"/>
          <c:tx>
            <c:strRef>
              <c:f>SCIBench2!$J$5</c:f>
              <c:strCache>
                <c:ptCount val="1"/>
                <c:pt idx="0">
                  <c:v>Genfi-5 Server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SCIBench2!$J$6:$J$16</c:f>
              <c:numCache>
                <c:formatCode>General</c:formatCode>
                <c:ptCount val="11"/>
                <c:pt idx="0">
                  <c:v>3.85</c:v>
                </c:pt>
                <c:pt idx="1">
                  <c:v>3.91</c:v>
                </c:pt>
                <c:pt idx="2">
                  <c:v>3.78</c:v>
                </c:pt>
                <c:pt idx="3">
                  <c:v>3.79</c:v>
                </c:pt>
                <c:pt idx="4">
                  <c:v>3.98</c:v>
                </c:pt>
                <c:pt idx="5">
                  <c:v>3.94</c:v>
                </c:pt>
                <c:pt idx="6">
                  <c:v>3.98</c:v>
                </c:pt>
                <c:pt idx="7">
                  <c:v>3.79</c:v>
                </c:pt>
                <c:pt idx="8">
                  <c:v>3.8</c:v>
                </c:pt>
                <c:pt idx="9">
                  <c:v>3.75</c:v>
                </c:pt>
                <c:pt idx="10">
                  <c:v>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95-4C5B-A821-80D161653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2591888"/>
        <c:axId val="1269088640"/>
      </c:lineChart>
      <c:catAx>
        <c:axId val="292591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</a:t>
                </a:r>
                <a:r>
                  <a:rPr lang="en-US" baseline="0"/>
                  <a:t> #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088640"/>
        <c:crosses val="autoZero"/>
        <c:auto val="1"/>
        <c:lblAlgn val="ctr"/>
        <c:lblOffset val="100"/>
        <c:noMultiLvlLbl val="0"/>
      </c:catAx>
      <c:valAx>
        <c:axId val="126908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(us)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59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Thoroughput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SCIBench2!$I$18</c:f>
              <c:strCache>
                <c:ptCount val="1"/>
                <c:pt idx="0">
                  <c:v>Genfi-6 Server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SCIBench2!$I$19:$I$29</c:f>
              <c:numCache>
                <c:formatCode>General</c:formatCode>
                <c:ptCount val="11"/>
                <c:pt idx="0">
                  <c:v>16885.312000000002</c:v>
                </c:pt>
                <c:pt idx="1">
                  <c:v>17289.61</c:v>
                </c:pt>
                <c:pt idx="2">
                  <c:v>17425.689999999999</c:v>
                </c:pt>
                <c:pt idx="3">
                  <c:v>16509.39</c:v>
                </c:pt>
                <c:pt idx="4">
                  <c:v>16593.240000000002</c:v>
                </c:pt>
                <c:pt idx="5">
                  <c:v>16599.96</c:v>
                </c:pt>
                <c:pt idx="6">
                  <c:v>16530.21</c:v>
                </c:pt>
                <c:pt idx="7">
                  <c:v>16568.490000000002</c:v>
                </c:pt>
                <c:pt idx="8">
                  <c:v>17321.05</c:v>
                </c:pt>
                <c:pt idx="9">
                  <c:v>17427.54</c:v>
                </c:pt>
                <c:pt idx="10">
                  <c:v>16587.939999999999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50-4534-9275-1EE826CCAB51}"/>
            </c:ext>
          </c:extLst>
        </c:ser>
        <c:ser>
          <c:idx val="1"/>
          <c:order val="1"/>
          <c:tx>
            <c:strRef>
              <c:f>SCIBench2!$J$18</c:f>
              <c:strCache>
                <c:ptCount val="1"/>
                <c:pt idx="0">
                  <c:v>Genfi-5 Server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SCIBench2!$J$19:$J$29</c:f>
              <c:numCache>
                <c:formatCode>General</c:formatCode>
                <c:ptCount val="11"/>
                <c:pt idx="0">
                  <c:v>17030.616000000002</c:v>
                </c:pt>
                <c:pt idx="1">
                  <c:v>16765.23</c:v>
                </c:pt>
                <c:pt idx="2">
                  <c:v>17323.060000000001</c:v>
                </c:pt>
                <c:pt idx="3">
                  <c:v>17290.98</c:v>
                </c:pt>
                <c:pt idx="4">
                  <c:v>16464.509999999998</c:v>
                </c:pt>
                <c:pt idx="5">
                  <c:v>16615.87</c:v>
                </c:pt>
                <c:pt idx="6">
                  <c:v>16455.830000000002</c:v>
                </c:pt>
                <c:pt idx="7">
                  <c:v>17292.62</c:v>
                </c:pt>
                <c:pt idx="8">
                  <c:v>17255.560000000001</c:v>
                </c:pt>
                <c:pt idx="9">
                  <c:v>17496.87</c:v>
                </c:pt>
                <c:pt idx="10">
                  <c:v>17345.63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50-4534-9275-1EE826CCA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4287232"/>
        <c:axId val="784282432"/>
      </c:lineChart>
      <c:catAx>
        <c:axId val="784287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</a:t>
                </a:r>
                <a:r>
                  <a:rPr lang="en-US" baseline="0"/>
                  <a:t> #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282432"/>
        <c:crosses val="autoZero"/>
        <c:auto val="1"/>
        <c:lblAlgn val="ctr"/>
        <c:lblOffset val="100"/>
        <c:noMultiLvlLbl val="0"/>
      </c:catAx>
      <c:valAx>
        <c:axId val="78428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</a:t>
                </a:r>
                <a:r>
                  <a:rPr lang="en-US" baseline="0"/>
                  <a:t> (MB/s)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28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Genfi-6 Server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SCIPP!$J$10:$J$19</c:f>
              <c:numCache>
                <c:formatCode>General</c:formatCode>
                <c:ptCount val="10"/>
                <c:pt idx="0">
                  <c:v>1.3605</c:v>
                </c:pt>
                <c:pt idx="1">
                  <c:v>1.3620000000000001</c:v>
                </c:pt>
                <c:pt idx="2">
                  <c:v>1.3614999999999999</c:v>
                </c:pt>
                <c:pt idx="3">
                  <c:v>1.3585</c:v>
                </c:pt>
                <c:pt idx="4">
                  <c:v>1.3614999999999999</c:v>
                </c:pt>
                <c:pt idx="5">
                  <c:v>0.71250000000000002</c:v>
                </c:pt>
                <c:pt idx="6">
                  <c:v>0.71199999999999997</c:v>
                </c:pt>
                <c:pt idx="7">
                  <c:v>0.71</c:v>
                </c:pt>
                <c:pt idx="8">
                  <c:v>0.71199999999999997</c:v>
                </c:pt>
                <c:pt idx="9">
                  <c:v>0.70850000000000002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A8-418E-9537-29EA5E90EB84}"/>
            </c:ext>
          </c:extLst>
        </c:ser>
        <c:ser>
          <c:idx val="1"/>
          <c:order val="1"/>
          <c:tx>
            <c:v>Genfi-5 Server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SCIPP!$K$10:$K$19</c:f>
              <c:numCache>
                <c:formatCode>General</c:formatCode>
                <c:ptCount val="10"/>
                <c:pt idx="0">
                  <c:v>1.3680000000000001</c:v>
                </c:pt>
                <c:pt idx="1">
                  <c:v>1.3585</c:v>
                </c:pt>
                <c:pt idx="2">
                  <c:v>1.36</c:v>
                </c:pt>
                <c:pt idx="3">
                  <c:v>1.3620000000000001</c:v>
                </c:pt>
                <c:pt idx="4">
                  <c:v>1.3605</c:v>
                </c:pt>
                <c:pt idx="5">
                  <c:v>0.71199999999999997</c:v>
                </c:pt>
                <c:pt idx="6">
                  <c:v>0.71150000000000002</c:v>
                </c:pt>
                <c:pt idx="7">
                  <c:v>0.71250000000000002</c:v>
                </c:pt>
                <c:pt idx="8">
                  <c:v>0.71199999999999997</c:v>
                </c:pt>
                <c:pt idx="9">
                  <c:v>0.71199999999999997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A8-418E-9537-29EA5E90E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2591888"/>
        <c:axId val="1269088640"/>
      </c:lineChart>
      <c:catAx>
        <c:axId val="292591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</a:t>
                </a:r>
                <a:r>
                  <a:rPr lang="en-US" baseline="0"/>
                  <a:t> #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088640"/>
        <c:crosses val="autoZero"/>
        <c:auto val="1"/>
        <c:lblAlgn val="ctr"/>
        <c:lblOffset val="100"/>
        <c:noMultiLvlLbl val="0"/>
      </c:catAx>
      <c:valAx>
        <c:axId val="126908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(us)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59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Effective Throughput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Genfi-6 Server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SCIPP!$J$23:$J$32</c:f>
              <c:numCache>
                <c:formatCode>0.00</c:formatCode>
                <c:ptCount val="10"/>
                <c:pt idx="0">
                  <c:v>5963.089570011025</c:v>
                </c:pt>
                <c:pt idx="1">
                  <c:v>5956.341850220264</c:v>
                </c:pt>
                <c:pt idx="2">
                  <c:v>5958.5292691883951</c:v>
                </c:pt>
                <c:pt idx="3">
                  <c:v>5971.6272948104524</c:v>
                </c:pt>
                <c:pt idx="4">
                  <c:v>5958.5292691883951</c:v>
                </c:pt>
                <c:pt idx="5">
                  <c:v>89.264954385964913</c:v>
                </c:pt>
                <c:pt idx="6">
                  <c:v>89.328539325842698</c:v>
                </c:pt>
                <c:pt idx="7">
                  <c:v>89.578366197183101</c:v>
                </c:pt>
                <c:pt idx="8">
                  <c:v>89.321348314606752</c:v>
                </c:pt>
                <c:pt idx="9">
                  <c:v>89.769823570924487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92-49D2-8B4E-D580029B1D7A}"/>
            </c:ext>
          </c:extLst>
        </c:ser>
        <c:ser>
          <c:idx val="1"/>
          <c:order val="1"/>
          <c:tx>
            <c:v>Genfi-5 Server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SCIPP!$K$23:$K$32</c:f>
              <c:numCache>
                <c:formatCode>0.00</c:formatCode>
                <c:ptCount val="10"/>
                <c:pt idx="0">
                  <c:v>5930.277426900584</c:v>
                </c:pt>
                <c:pt idx="1">
                  <c:v>5970.5418623481783</c:v>
                </c:pt>
                <c:pt idx="2">
                  <c:v>5964.3783529411758</c:v>
                </c:pt>
                <c:pt idx="3">
                  <c:v>5955.0186196769446</c:v>
                </c:pt>
                <c:pt idx="4">
                  <c:v>5961.7648805586186</c:v>
                </c:pt>
                <c:pt idx="5">
                  <c:v>89.314157303370791</c:v>
                </c:pt>
                <c:pt idx="6">
                  <c:v>89.369725931131413</c:v>
                </c:pt>
                <c:pt idx="7">
                  <c:v>89.246091228070171</c:v>
                </c:pt>
                <c:pt idx="8">
                  <c:v>89.317752808988772</c:v>
                </c:pt>
                <c:pt idx="9">
                  <c:v>89.314157303370791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92-49D2-8B4E-D580029B1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4287232"/>
        <c:axId val="784282432"/>
      </c:lineChart>
      <c:catAx>
        <c:axId val="784287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</a:t>
                </a:r>
                <a:r>
                  <a:rPr lang="en-US" baseline="0"/>
                  <a:t> #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282432"/>
        <c:crosses val="autoZero"/>
        <c:auto val="1"/>
        <c:lblAlgn val="ctr"/>
        <c:lblOffset val="100"/>
        <c:noMultiLvlLbl val="0"/>
      </c:catAx>
      <c:valAx>
        <c:axId val="78428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</a:t>
                </a:r>
                <a:r>
                  <a:rPr lang="en-US" baseline="0"/>
                  <a:t> (MB/s)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28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46037</xdr:colOff>
      <xdr:row>0</xdr:row>
      <xdr:rowOff>55564</xdr:rowOff>
    </xdr:from>
    <xdr:to>
      <xdr:col>13</xdr:col>
      <xdr:colOff>579437</xdr:colOff>
      <xdr:row>14</xdr:row>
      <xdr:rowOff>111126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4057B6-3673-0BA8-27E4-E08C408A9D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38100</xdr:colOff>
      <xdr:row>15</xdr:row>
      <xdr:rowOff>160338</xdr:rowOff>
    </xdr:from>
    <xdr:to>
      <xdr:col>13</xdr:col>
      <xdr:colOff>539750</xdr:colOff>
      <xdr:row>31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6019F8-5494-44BE-7B63-FD9F0F8B20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658018</xdr:colOff>
      <xdr:row>25</xdr:row>
      <xdr:rowOff>23019</xdr:rowOff>
    </xdr:from>
    <xdr:to>
      <xdr:col>6</xdr:col>
      <xdr:colOff>682625</xdr:colOff>
      <xdr:row>29</xdr:row>
      <xdr:rowOff>63501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7F032AA-A5E2-A82E-F0C1-5B712D7FC81F}"/>
            </a:ext>
          </a:extLst>
        </xdr:cNvPr>
        <xdr:cNvSpPr txBox="1"/>
      </xdr:nvSpPr>
      <xdr:spPr>
        <a:xfrm>
          <a:off x="658018" y="4388644"/>
          <a:ext cx="5247482" cy="73898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Notes:</a:t>
          </a:r>
          <a:r>
            <a:rPr lang="en-US" sz="1100" baseline="0"/>
            <a:t> It seems that the DMA data transfers are more effective when Genfi-5 is the server.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46037</xdr:colOff>
      <xdr:row>1</xdr:row>
      <xdr:rowOff>55564</xdr:rowOff>
    </xdr:from>
    <xdr:to>
      <xdr:col>13</xdr:col>
      <xdr:colOff>579437</xdr:colOff>
      <xdr:row>15</xdr:row>
      <xdr:rowOff>111126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EF685D-3B80-4D86-AE0E-CD24E9F3CF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29029</xdr:colOff>
      <xdr:row>16</xdr:row>
      <xdr:rowOff>6124</xdr:rowOff>
    </xdr:from>
    <xdr:to>
      <xdr:col>13</xdr:col>
      <xdr:colOff>530679</xdr:colOff>
      <xdr:row>31</xdr:row>
      <xdr:rowOff>27214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A4A7B9-6F7F-497B-ABA0-5050AD586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658018</xdr:colOff>
      <xdr:row>26</xdr:row>
      <xdr:rowOff>23019</xdr:rowOff>
    </xdr:from>
    <xdr:to>
      <xdr:col>6</xdr:col>
      <xdr:colOff>682625</xdr:colOff>
      <xdr:row>30</xdr:row>
      <xdr:rowOff>63501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D7B67E8-0F52-4282-83DE-143652110A23}"/>
            </a:ext>
          </a:extLst>
        </xdr:cNvPr>
        <xdr:cNvSpPr txBox="1"/>
      </xdr:nvSpPr>
      <xdr:spPr>
        <a:xfrm>
          <a:off x="658018" y="4474369"/>
          <a:ext cx="5244307" cy="75168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Notes:</a:t>
          </a:r>
          <a:r>
            <a:rPr lang="en-US" sz="1100" baseline="0"/>
            <a:t> On average, The throughput is slightly better with Genfi-5 as the server, andthe latency is slightly lower. The latency and throughput are better with the PIO than they are with the DMA. 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46037</xdr:colOff>
      <xdr:row>4</xdr:row>
      <xdr:rowOff>55564</xdr:rowOff>
    </xdr:from>
    <xdr:to>
      <xdr:col>14</xdr:col>
      <xdr:colOff>579437</xdr:colOff>
      <xdr:row>18</xdr:row>
      <xdr:rowOff>111126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1150C7-7933-421E-9C28-935051A77E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29029</xdr:colOff>
      <xdr:row>19</xdr:row>
      <xdr:rowOff>6124</xdr:rowOff>
    </xdr:from>
    <xdr:to>
      <xdr:col>14</xdr:col>
      <xdr:colOff>530679</xdr:colOff>
      <xdr:row>34</xdr:row>
      <xdr:rowOff>27214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4CC140-9F30-4B82-A9A8-9B32E0BE44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607218</xdr:colOff>
      <xdr:row>29</xdr:row>
      <xdr:rowOff>23018</xdr:rowOff>
    </xdr:from>
    <xdr:to>
      <xdr:col>7</xdr:col>
      <xdr:colOff>682625</xdr:colOff>
      <xdr:row>36</xdr:row>
      <xdr:rowOff>72571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B52F053-5A47-4303-B65C-ECFE5FC42564}"/>
            </a:ext>
          </a:extLst>
        </xdr:cNvPr>
        <xdr:cNvSpPr txBox="1"/>
      </xdr:nvSpPr>
      <xdr:spPr>
        <a:xfrm>
          <a:off x="1215004" y="5338875"/>
          <a:ext cx="2969192" cy="131955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NOTE: Effective throughput is calculated as size*success rate out of 100000 tries divided</a:t>
          </a:r>
          <a:r>
            <a:rPr lang="en-US" sz="1100" baseline="0"/>
            <a:t> by latency (Half of rtt).</a:t>
          </a:r>
        </a:p>
        <a:p>
          <a:r>
            <a:rPr lang="en-US" sz="1100" baseline="0"/>
            <a:t>The difference in throughput and latency is not affected by whcih unit is the server. </a:t>
          </a:r>
        </a:p>
        <a:p>
          <a:r>
            <a:rPr lang="en-US" sz="1100" baseline="0"/>
            <a:t>Lateny is better using smaller TLP, and throughput is considerable better when using larger TLP.</a:t>
          </a:r>
        </a:p>
        <a:p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8504</xdr:colOff>
      <xdr:row>30</xdr:row>
      <xdr:rowOff>177234</xdr:rowOff>
    </xdr:from>
    <xdr:to>
      <xdr:col>20</xdr:col>
      <xdr:colOff>18143</xdr:colOff>
      <xdr:row>38</xdr:row>
      <xdr:rowOff>45359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FCC2003-FD35-43DB-9557-9745BFA66F9E}"/>
            </a:ext>
          </a:extLst>
        </xdr:cNvPr>
        <xdr:cNvSpPr txBox="1"/>
      </xdr:nvSpPr>
      <xdr:spPr>
        <a:xfrm>
          <a:off x="616290" y="5674520"/>
          <a:ext cx="13743782" cy="131955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NOTE: It seems that with this particular setup, the overall</a:t>
          </a:r>
          <a:r>
            <a:rPr lang="en-US" sz="1100" baseline="0"/>
            <a:t> best option would be sciMemCopy_16k_chunked_avx2 for SCIMemcopy with Genfi-5being the server. It has the best Latency and throughput out of any of the tests in SCIMemcopy. </a:t>
          </a:r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658018</xdr:colOff>
      <xdr:row>25</xdr:row>
      <xdr:rowOff>23019</xdr:rowOff>
    </xdr:from>
    <xdr:to>
      <xdr:col>6</xdr:col>
      <xdr:colOff>682625</xdr:colOff>
      <xdr:row>29</xdr:row>
      <xdr:rowOff>63501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74ECEDD-0106-4CCC-BF93-6165A0034F0D}"/>
            </a:ext>
          </a:extLst>
        </xdr:cNvPr>
        <xdr:cNvSpPr txBox="1"/>
      </xdr:nvSpPr>
      <xdr:spPr>
        <a:xfrm>
          <a:off x="607218" y="4658519"/>
          <a:ext cx="4818857" cy="77708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BD132-8C3A-4542-84D3-9EC9BCC45F0B}">
  <dimension ref="A5:L19"/>
  <sheetViews>
    <sheetView zoomScale="80" zoomScaleNormal="80" workbookViewId="0">
      <selection activeCell="C23" sqref="C23"/>
    </sheetView>
  </sheetViews>
  <sheetFormatPr defaultRowHeight="15" x14ac:dyDescent="0.25"/>
  <cols>
    <col min="1" max="1" width="33.7109375" bestFit="1" customWidth="1"/>
    <col min="2" max="2" width="13.7109375" bestFit="1" customWidth="1"/>
    <col min="3" max="3" width="39.42578125" bestFit="1" customWidth="1"/>
    <col min="4" max="4" width="22.42578125" bestFit="1" customWidth="1"/>
    <col min="5" max="5" width="36.5703125" bestFit="1" customWidth="1"/>
    <col min="6" max="6" width="14.5703125" bestFit="1" customWidth="1"/>
    <col min="7" max="7" width="20.5703125" bestFit="1" customWidth="1"/>
    <col min="8" max="8" width="33.7109375" bestFit="1" customWidth="1"/>
    <col min="9" max="9" width="11.5703125" bestFit="1" customWidth="1"/>
    <col min="10" max="10" width="5.42578125" bestFit="1" customWidth="1"/>
    <col min="11" max="11" width="22.42578125" bestFit="1" customWidth="1"/>
    <col min="12" max="12" width="6.7109375" bestFit="1" customWidth="1"/>
    <col min="13" max="13" width="13.140625" bestFit="1" customWidth="1"/>
    <col min="14" max="14" width="11.85546875" bestFit="1" customWidth="1"/>
    <col min="15" max="15" width="18.140625" bestFit="1" customWidth="1"/>
    <col min="16" max="16" width="10.140625" bestFit="1" customWidth="1"/>
    <col min="17" max="17" width="16.42578125" bestFit="1" customWidth="1"/>
    <col min="18" max="18" width="11.5703125" bestFit="1" customWidth="1"/>
    <col min="19" max="19" width="18.140625" bestFit="1" customWidth="1"/>
    <col min="20" max="20" width="14.5703125" bestFit="1" customWidth="1"/>
    <col min="21" max="21" width="13.85546875" bestFit="1" customWidth="1"/>
    <col min="22" max="23" width="13.7109375" bestFit="1" customWidth="1"/>
    <col min="24" max="24" width="8.28515625" bestFit="1" customWidth="1"/>
    <col min="25" max="25" width="5.7109375" bestFit="1" customWidth="1"/>
    <col min="26" max="26" width="9.85546875" bestFit="1" customWidth="1"/>
  </cols>
  <sheetData>
    <row r="5" spans="1:12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</row>
    <row r="6" spans="1:12" x14ac:dyDescent="0.25">
      <c r="A6" s="3" t="s">
        <v>26</v>
      </c>
      <c r="B6" s="3">
        <v>4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31</v>
      </c>
      <c r="L6" s="1"/>
    </row>
    <row r="7" spans="1:12" x14ac:dyDescent="0.25">
      <c r="A7" s="3" t="s">
        <v>45</v>
      </c>
      <c r="B7" s="3">
        <v>8</v>
      </c>
      <c r="C7" s="3" t="s">
        <v>46</v>
      </c>
      <c r="D7" s="3" t="s">
        <v>28</v>
      </c>
      <c r="E7" s="3" t="s">
        <v>47</v>
      </c>
      <c r="F7" s="3" t="s">
        <v>30</v>
      </c>
      <c r="G7" s="3" t="s">
        <v>31</v>
      </c>
      <c r="L7" s="1"/>
    </row>
    <row r="9" spans="1:12" x14ac:dyDescent="0.25">
      <c r="A9" s="2" t="s">
        <v>7</v>
      </c>
      <c r="B9" s="2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</row>
    <row r="10" spans="1:12" x14ac:dyDescent="0.25">
      <c r="A10" s="3" t="s">
        <v>32</v>
      </c>
      <c r="B10" s="3" t="s">
        <v>33</v>
      </c>
      <c r="C10" s="3" t="s">
        <v>34</v>
      </c>
      <c r="D10" s="3" t="s">
        <v>35</v>
      </c>
      <c r="E10" s="9">
        <v>6.2511574074074075E-3</v>
      </c>
      <c r="F10" s="3" t="s">
        <v>36</v>
      </c>
      <c r="G10" s="3">
        <v>1</v>
      </c>
    </row>
    <row r="11" spans="1:12" x14ac:dyDescent="0.25">
      <c r="A11" s="3" t="s">
        <v>32</v>
      </c>
      <c r="B11" s="3" t="s">
        <v>33</v>
      </c>
      <c r="C11" s="3" t="s">
        <v>34</v>
      </c>
      <c r="D11" s="3" t="s">
        <v>48</v>
      </c>
      <c r="E11" s="9">
        <v>5.556712962962963E-3</v>
      </c>
      <c r="F11" s="3" t="s">
        <v>36</v>
      </c>
      <c r="G11" s="3">
        <v>1</v>
      </c>
    </row>
    <row r="13" spans="1:12" x14ac:dyDescent="0.25">
      <c r="A13" s="2" t="s">
        <v>14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19</v>
      </c>
      <c r="G13" s="2" t="s">
        <v>20</v>
      </c>
    </row>
    <row r="14" spans="1:12" x14ac:dyDescent="0.25">
      <c r="A14" s="3" t="s">
        <v>37</v>
      </c>
      <c r="B14" s="3" t="s">
        <v>38</v>
      </c>
      <c r="C14" s="3" t="s">
        <v>39</v>
      </c>
      <c r="D14" s="3" t="s">
        <v>40</v>
      </c>
      <c r="E14" s="3" t="s">
        <v>33</v>
      </c>
      <c r="F14" s="3" t="s">
        <v>41</v>
      </c>
      <c r="G14" s="3" t="s">
        <v>42</v>
      </c>
    </row>
    <row r="15" spans="1:12" x14ac:dyDescent="0.25">
      <c r="A15" s="3" t="s">
        <v>37</v>
      </c>
      <c r="B15" s="3" t="s">
        <v>38</v>
      </c>
      <c r="C15" s="3" t="s">
        <v>39</v>
      </c>
      <c r="D15" s="3" t="s">
        <v>49</v>
      </c>
      <c r="E15" s="3" t="s">
        <v>33</v>
      </c>
      <c r="F15" s="3" t="s">
        <v>50</v>
      </c>
      <c r="G15" s="3" t="s">
        <v>42</v>
      </c>
    </row>
    <row r="17" spans="1:5" x14ac:dyDescent="0.25">
      <c r="A17" s="2" t="s">
        <v>21</v>
      </c>
      <c r="B17" s="2" t="s">
        <v>22</v>
      </c>
      <c r="C17" s="2" t="s">
        <v>23</v>
      </c>
      <c r="D17" s="2" t="s">
        <v>24</v>
      </c>
      <c r="E17" s="2" t="s">
        <v>25</v>
      </c>
    </row>
    <row r="18" spans="1:5" x14ac:dyDescent="0.25">
      <c r="A18" s="3" t="s">
        <v>43</v>
      </c>
      <c r="B18" s="3" t="s">
        <v>43</v>
      </c>
      <c r="C18" s="3">
        <v>0</v>
      </c>
      <c r="D18" s="3">
        <v>0</v>
      </c>
      <c r="E18" s="3" t="s">
        <v>44</v>
      </c>
    </row>
    <row r="19" spans="1:5" x14ac:dyDescent="0.25">
      <c r="A19" s="3" t="s">
        <v>43</v>
      </c>
      <c r="B19" s="3" t="s">
        <v>43</v>
      </c>
      <c r="C19" s="3">
        <v>0</v>
      </c>
      <c r="D19" s="3">
        <v>0</v>
      </c>
      <c r="E19" s="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FB43B-72ED-4BD7-A5D1-BFF2B09DB615}">
  <dimension ref="B1:J28"/>
  <sheetViews>
    <sheetView zoomScale="70" zoomScaleNormal="70" workbookViewId="0">
      <selection activeCell="F16" sqref="F16:F25"/>
    </sheetView>
  </sheetViews>
  <sheetFormatPr defaultRowHeight="15" x14ac:dyDescent="0.25"/>
  <cols>
    <col min="2" max="2" width="7.7109375" bestFit="1" customWidth="1"/>
    <col min="3" max="3" width="10.7109375" bestFit="1" customWidth="1"/>
    <col min="4" max="4" width="26.7109375" bestFit="1" customWidth="1"/>
    <col min="5" max="5" width="8.7109375" bestFit="1" customWidth="1"/>
    <col min="6" max="6" width="8.28515625" bestFit="1" customWidth="1"/>
    <col min="7" max="7" width="11.7109375" bestFit="1" customWidth="1"/>
    <col min="8" max="8" width="0.85546875" customWidth="1"/>
    <col min="9" max="10" width="15.28515625" bestFit="1" customWidth="1"/>
    <col min="11" max="12" width="12.42578125" bestFit="1" customWidth="1"/>
  </cols>
  <sheetData>
    <row r="1" spans="2:10" x14ac:dyDescent="0.25">
      <c r="E1" s="15" t="s">
        <v>83</v>
      </c>
      <c r="F1" s="16"/>
      <c r="G1" s="16"/>
      <c r="H1" s="16"/>
      <c r="I1" s="16"/>
      <c r="J1" s="17"/>
    </row>
    <row r="2" spans="2:10" ht="15.75" thickBot="1" x14ac:dyDescent="0.3">
      <c r="E2" s="18"/>
      <c r="F2" s="19"/>
      <c r="G2" s="19"/>
      <c r="H2" s="19"/>
      <c r="I2" s="19"/>
      <c r="J2" s="20"/>
    </row>
    <row r="3" spans="2:10" x14ac:dyDescent="0.25">
      <c r="B3" s="2"/>
      <c r="C3" s="2" t="s">
        <v>55</v>
      </c>
      <c r="D3" s="2" t="s">
        <v>56</v>
      </c>
    </row>
    <row r="4" spans="2:10" ht="15.75" thickBot="1" x14ac:dyDescent="0.3">
      <c r="B4" s="2"/>
      <c r="C4" s="2" t="s">
        <v>60</v>
      </c>
      <c r="D4" s="2" t="s">
        <v>54</v>
      </c>
      <c r="E4" s="2" t="s">
        <v>57</v>
      </c>
      <c r="F4" s="2" t="s">
        <v>58</v>
      </c>
      <c r="G4" s="2" t="s">
        <v>59</v>
      </c>
      <c r="H4" s="5"/>
      <c r="I4" s="4" t="s">
        <v>81</v>
      </c>
      <c r="J4" s="4" t="s">
        <v>82</v>
      </c>
    </row>
    <row r="5" spans="2:10" ht="15.75" thickBot="1" x14ac:dyDescent="0.3">
      <c r="B5" s="2" t="s">
        <v>51</v>
      </c>
      <c r="C5" s="3" t="s">
        <v>53</v>
      </c>
      <c r="D5" s="3" t="s">
        <v>52</v>
      </c>
      <c r="E5" s="3">
        <v>524288</v>
      </c>
      <c r="F5" s="3">
        <v>36.659999999999997</v>
      </c>
      <c r="G5" s="3">
        <v>14301.36</v>
      </c>
      <c r="H5" s="5"/>
      <c r="I5" s="7">
        <f>AVERAGE(I6:I15)</f>
        <v>38.483000000000004</v>
      </c>
      <c r="J5" s="7">
        <f>AVERAGE(J6:J15)</f>
        <v>36.036000000000001</v>
      </c>
    </row>
    <row r="6" spans="2:10" x14ac:dyDescent="0.25">
      <c r="B6" s="2" t="s">
        <v>61</v>
      </c>
      <c r="C6" s="3" t="s">
        <v>53</v>
      </c>
      <c r="D6" s="3" t="s">
        <v>52</v>
      </c>
      <c r="E6" s="3">
        <v>524288</v>
      </c>
      <c r="F6" s="3">
        <v>38.590000000000003</v>
      </c>
      <c r="G6" s="3">
        <v>13584.7</v>
      </c>
      <c r="H6" s="5"/>
      <c r="I6" s="6">
        <v>36.659999999999997</v>
      </c>
      <c r="J6" s="6">
        <v>36.65</v>
      </c>
    </row>
    <row r="7" spans="2:10" x14ac:dyDescent="0.25">
      <c r="B7" s="2" t="s">
        <v>62</v>
      </c>
      <c r="C7" s="3" t="s">
        <v>53</v>
      </c>
      <c r="D7" s="3" t="s">
        <v>52</v>
      </c>
      <c r="E7" s="3">
        <v>524288</v>
      </c>
      <c r="F7" s="3">
        <v>38.619999999999997</v>
      </c>
      <c r="G7" s="3">
        <v>13575.56</v>
      </c>
      <c r="H7" s="5"/>
      <c r="I7" s="3">
        <v>38.590000000000003</v>
      </c>
      <c r="J7" s="3">
        <v>36.909999999999997</v>
      </c>
    </row>
    <row r="8" spans="2:10" x14ac:dyDescent="0.25">
      <c r="B8" s="2" t="s">
        <v>63</v>
      </c>
      <c r="C8" s="3" t="s">
        <v>53</v>
      </c>
      <c r="D8" s="3" t="s">
        <v>52</v>
      </c>
      <c r="E8" s="3">
        <v>524288</v>
      </c>
      <c r="F8" s="3">
        <v>38.549999999999997</v>
      </c>
      <c r="G8" s="3">
        <v>13600.21</v>
      </c>
      <c r="H8" s="5"/>
      <c r="I8" s="3">
        <v>38.619999999999997</v>
      </c>
      <c r="J8" s="3">
        <v>36.79</v>
      </c>
    </row>
    <row r="9" spans="2:10" x14ac:dyDescent="0.25">
      <c r="B9" s="2" t="s">
        <v>64</v>
      </c>
      <c r="C9" s="3" t="s">
        <v>53</v>
      </c>
      <c r="D9" s="3" t="s">
        <v>52</v>
      </c>
      <c r="E9" s="3">
        <v>524288</v>
      </c>
      <c r="F9" s="3">
        <v>38.78</v>
      </c>
      <c r="G9" s="3">
        <v>13518.5</v>
      </c>
      <c r="H9" s="5"/>
      <c r="I9" s="3">
        <v>38.549999999999997</v>
      </c>
      <c r="J9" s="3">
        <v>37.15</v>
      </c>
    </row>
    <row r="10" spans="2:10" x14ac:dyDescent="0.25">
      <c r="B10" s="2" t="s">
        <v>65</v>
      </c>
      <c r="C10" s="3" t="s">
        <v>53</v>
      </c>
      <c r="D10" s="3" t="s">
        <v>52</v>
      </c>
      <c r="E10" s="3">
        <v>524288</v>
      </c>
      <c r="F10" s="3">
        <v>38.81</v>
      </c>
      <c r="G10" s="3">
        <v>13510.49</v>
      </c>
      <c r="H10" s="5"/>
      <c r="I10" s="3">
        <v>38.78</v>
      </c>
      <c r="J10" s="3">
        <v>38.67</v>
      </c>
    </row>
    <row r="11" spans="2:10" x14ac:dyDescent="0.25">
      <c r="B11" s="2" t="s">
        <v>66</v>
      </c>
      <c r="C11" s="3" t="s">
        <v>53</v>
      </c>
      <c r="D11" s="3" t="s">
        <v>52</v>
      </c>
      <c r="E11" s="3">
        <v>524288</v>
      </c>
      <c r="F11" s="3">
        <v>38.78</v>
      </c>
      <c r="G11" s="3">
        <v>13517.8</v>
      </c>
      <c r="H11" s="5"/>
      <c r="I11" s="3">
        <v>38.81</v>
      </c>
      <c r="J11" s="3">
        <v>36.79</v>
      </c>
    </row>
    <row r="12" spans="2:10" x14ac:dyDescent="0.25">
      <c r="B12" s="2" t="s">
        <v>67</v>
      </c>
      <c r="C12" s="3" t="s">
        <v>53</v>
      </c>
      <c r="D12" s="3" t="s">
        <v>52</v>
      </c>
      <c r="E12" s="3">
        <v>524288</v>
      </c>
      <c r="F12" s="3">
        <v>38.590000000000003</v>
      </c>
      <c r="G12" s="3">
        <v>13584.35</v>
      </c>
      <c r="H12" s="5"/>
      <c r="I12" s="3">
        <v>38.78</v>
      </c>
      <c r="J12" s="3">
        <v>37.03</v>
      </c>
    </row>
    <row r="13" spans="2:10" x14ac:dyDescent="0.25">
      <c r="B13" s="2" t="s">
        <v>68</v>
      </c>
      <c r="C13" s="3" t="s">
        <v>53</v>
      </c>
      <c r="D13" s="3" t="s">
        <v>52</v>
      </c>
      <c r="E13" s="3">
        <v>524288</v>
      </c>
      <c r="F13" s="3">
        <v>38.79</v>
      </c>
      <c r="G13" s="3">
        <v>13517.11</v>
      </c>
      <c r="H13" s="5"/>
      <c r="I13" s="3">
        <v>38.590000000000003</v>
      </c>
      <c r="J13" s="3">
        <v>36.85</v>
      </c>
    </row>
    <row r="14" spans="2:10" x14ac:dyDescent="0.25">
      <c r="B14" s="2" t="s">
        <v>69</v>
      </c>
      <c r="C14" s="3" t="s">
        <v>53</v>
      </c>
      <c r="D14" s="3" t="s">
        <v>52</v>
      </c>
      <c r="E14" s="3">
        <v>524288</v>
      </c>
      <c r="F14" s="3">
        <v>38.659999999999997</v>
      </c>
      <c r="G14" s="3">
        <v>13562.56</v>
      </c>
      <c r="H14" s="5"/>
      <c r="I14" s="3">
        <v>38.79</v>
      </c>
      <c r="J14" s="3">
        <v>26.77</v>
      </c>
    </row>
    <row r="15" spans="2:10" x14ac:dyDescent="0.25">
      <c r="C15" s="4" t="s">
        <v>55</v>
      </c>
      <c r="D15" s="4" t="s">
        <v>80</v>
      </c>
      <c r="H15" s="5"/>
      <c r="I15" s="3">
        <v>38.659999999999997</v>
      </c>
      <c r="J15" s="3">
        <v>36.75</v>
      </c>
    </row>
    <row r="16" spans="2:10" x14ac:dyDescent="0.25">
      <c r="B16" s="2" t="s">
        <v>70</v>
      </c>
      <c r="C16" s="3" t="s">
        <v>52</v>
      </c>
      <c r="D16" s="3" t="s">
        <v>53</v>
      </c>
      <c r="E16" s="3">
        <v>524288</v>
      </c>
      <c r="F16" s="3">
        <v>36.65</v>
      </c>
      <c r="G16" s="3">
        <v>14304.88</v>
      </c>
      <c r="H16" s="5"/>
    </row>
    <row r="17" spans="2:10" ht="15.75" thickBot="1" x14ac:dyDescent="0.3">
      <c r="B17" s="2" t="s">
        <v>71</v>
      </c>
      <c r="C17" s="3" t="s">
        <v>52</v>
      </c>
      <c r="D17" s="3" t="s">
        <v>53</v>
      </c>
      <c r="E17" s="3">
        <v>524288</v>
      </c>
      <c r="F17" s="3">
        <v>36.909999999999997</v>
      </c>
      <c r="G17" s="3">
        <v>14204.88</v>
      </c>
      <c r="H17" s="5"/>
      <c r="I17" s="4" t="s">
        <v>81</v>
      </c>
      <c r="J17" s="4" t="s">
        <v>82</v>
      </c>
    </row>
    <row r="18" spans="2:10" ht="15.75" thickBot="1" x14ac:dyDescent="0.3">
      <c r="B18" s="2" t="s">
        <v>72</v>
      </c>
      <c r="C18" s="3" t="s">
        <v>52</v>
      </c>
      <c r="D18" s="3" t="s">
        <v>53</v>
      </c>
      <c r="E18" s="3">
        <v>524288</v>
      </c>
      <c r="F18" s="3">
        <v>36.79</v>
      </c>
      <c r="G18" s="3">
        <v>14249.67</v>
      </c>
      <c r="H18" s="5"/>
      <c r="I18" s="7">
        <f>AVERAGE(I19:I28)</f>
        <v>13627.264000000001</v>
      </c>
      <c r="J18" s="7">
        <f>AVERAGE(J19:J28)</f>
        <v>14691.631000000003</v>
      </c>
    </row>
    <row r="19" spans="2:10" x14ac:dyDescent="0.25">
      <c r="B19" s="2" t="s">
        <v>73</v>
      </c>
      <c r="C19" s="3" t="s">
        <v>52</v>
      </c>
      <c r="D19" s="3" t="s">
        <v>53</v>
      </c>
      <c r="E19" s="3">
        <v>524288</v>
      </c>
      <c r="F19" s="3">
        <v>37.15</v>
      </c>
      <c r="G19" s="3">
        <v>14114.25</v>
      </c>
      <c r="H19" s="5"/>
      <c r="I19" s="6">
        <v>14301.36</v>
      </c>
      <c r="J19" s="6">
        <v>14304.88</v>
      </c>
    </row>
    <row r="20" spans="2:10" x14ac:dyDescent="0.25">
      <c r="B20" s="2" t="s">
        <v>74</v>
      </c>
      <c r="C20" s="3" t="s">
        <v>52</v>
      </c>
      <c r="D20" s="3" t="s">
        <v>53</v>
      </c>
      <c r="E20" s="3">
        <v>524288</v>
      </c>
      <c r="F20" s="3">
        <v>38.67</v>
      </c>
      <c r="G20" s="3">
        <v>13559.06</v>
      </c>
      <c r="H20" s="5"/>
      <c r="I20" s="3">
        <v>13584.7</v>
      </c>
      <c r="J20" s="3">
        <v>14204.88</v>
      </c>
    </row>
    <row r="21" spans="2:10" x14ac:dyDescent="0.25">
      <c r="B21" s="2" t="s">
        <v>75</v>
      </c>
      <c r="C21" s="3" t="s">
        <v>52</v>
      </c>
      <c r="D21" s="3" t="s">
        <v>53</v>
      </c>
      <c r="E21" s="3">
        <v>524288</v>
      </c>
      <c r="F21" s="3">
        <v>36.79</v>
      </c>
      <c r="G21" s="3">
        <v>14250.05</v>
      </c>
      <c r="H21" s="5"/>
      <c r="I21" s="3">
        <v>13575.56</v>
      </c>
      <c r="J21" s="3">
        <v>14249.67</v>
      </c>
    </row>
    <row r="22" spans="2:10" x14ac:dyDescent="0.25">
      <c r="B22" s="2" t="s">
        <v>76</v>
      </c>
      <c r="C22" s="3" t="s">
        <v>52</v>
      </c>
      <c r="D22" s="3" t="s">
        <v>53</v>
      </c>
      <c r="E22" s="3">
        <v>524288</v>
      </c>
      <c r="F22" s="3">
        <v>37.03</v>
      </c>
      <c r="G22" s="3">
        <v>14158.08</v>
      </c>
      <c r="H22" s="5"/>
      <c r="I22" s="3">
        <v>13600.21</v>
      </c>
      <c r="J22" s="3">
        <v>14114.25</v>
      </c>
    </row>
    <row r="23" spans="2:10" x14ac:dyDescent="0.25">
      <c r="B23" s="2" t="s">
        <v>77</v>
      </c>
      <c r="C23" s="3" t="s">
        <v>52</v>
      </c>
      <c r="D23" s="3" t="s">
        <v>53</v>
      </c>
      <c r="E23" s="3">
        <v>524288</v>
      </c>
      <c r="F23" s="3">
        <v>36.85</v>
      </c>
      <c r="G23" s="3">
        <v>14226.47</v>
      </c>
      <c r="H23" s="5"/>
      <c r="I23" s="3">
        <v>13518.5</v>
      </c>
      <c r="J23" s="3">
        <v>13559.06</v>
      </c>
    </row>
    <row r="24" spans="2:10" x14ac:dyDescent="0.25">
      <c r="B24" s="2" t="s">
        <v>78</v>
      </c>
      <c r="C24" s="3" t="s">
        <v>52</v>
      </c>
      <c r="D24" s="3" t="s">
        <v>53</v>
      </c>
      <c r="E24" s="3">
        <v>524288</v>
      </c>
      <c r="F24" s="3">
        <v>26.77</v>
      </c>
      <c r="G24" s="3">
        <v>19584.18</v>
      </c>
      <c r="H24" s="5"/>
      <c r="I24" s="3">
        <v>13510.49</v>
      </c>
      <c r="J24" s="3">
        <v>14250.05</v>
      </c>
    </row>
    <row r="25" spans="2:10" x14ac:dyDescent="0.25">
      <c r="B25" s="2" t="s">
        <v>79</v>
      </c>
      <c r="C25" s="3" t="s">
        <v>52</v>
      </c>
      <c r="D25" s="3" t="s">
        <v>53</v>
      </c>
      <c r="E25" s="3">
        <v>524288</v>
      </c>
      <c r="F25" s="3">
        <v>36.75</v>
      </c>
      <c r="G25" s="3">
        <v>14264.79</v>
      </c>
      <c r="H25" s="5"/>
      <c r="I25" s="3">
        <v>13517.8</v>
      </c>
      <c r="J25" s="3">
        <v>14158.08</v>
      </c>
    </row>
    <row r="26" spans="2:10" x14ac:dyDescent="0.25">
      <c r="H26" s="5"/>
      <c r="I26" s="3">
        <v>13584.35</v>
      </c>
      <c r="J26" s="3">
        <v>14226.47</v>
      </c>
    </row>
    <row r="27" spans="2:10" x14ac:dyDescent="0.25">
      <c r="H27" s="5"/>
      <c r="I27" s="3">
        <v>13517.11</v>
      </c>
      <c r="J27" s="3">
        <v>19584.18</v>
      </c>
    </row>
    <row r="28" spans="2:10" x14ac:dyDescent="0.25">
      <c r="H28" s="5"/>
      <c r="I28" s="3">
        <v>13562.56</v>
      </c>
      <c r="J28" s="3">
        <v>14264.79</v>
      </c>
    </row>
  </sheetData>
  <mergeCells count="1">
    <mergeCell ref="E1:J2"/>
  </mergeCells>
  <phoneticPr fontId="1" type="noConversion"/>
  <conditionalFormatting sqref="I5:J5">
    <cfRule type="top10" dxfId="17" priority="4" bottom="1" rank="1"/>
  </conditionalFormatting>
  <conditionalFormatting sqref="I18:J18">
    <cfRule type="top10" dxfId="16" priority="3" rank="1"/>
  </conditionalFormatting>
  <conditionalFormatting sqref="F5:F14">
    <cfRule type="top10" dxfId="5" priority="2" rank="1"/>
  </conditionalFormatting>
  <conditionalFormatting sqref="F16:F25">
    <cfRule type="top10" dxfId="4" priority="1" rank="1"/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D653F-73C9-48AF-9186-DD7F4445B2FE}">
  <dimension ref="B1:J29"/>
  <sheetViews>
    <sheetView zoomScale="70" zoomScaleNormal="70" workbookViewId="0">
      <selection activeCell="F6" sqref="F6:F26"/>
    </sheetView>
  </sheetViews>
  <sheetFormatPr defaultRowHeight="15" x14ac:dyDescent="0.25"/>
  <cols>
    <col min="2" max="2" width="7.7109375" bestFit="1" customWidth="1"/>
    <col min="3" max="3" width="10.7109375" bestFit="1" customWidth="1"/>
    <col min="4" max="4" width="23.85546875" bestFit="1" customWidth="1"/>
    <col min="5" max="5" width="7.42578125" bestFit="1" customWidth="1"/>
    <col min="6" max="6" width="8.28515625" bestFit="1" customWidth="1"/>
    <col min="7" max="7" width="11.7109375" bestFit="1" customWidth="1"/>
    <col min="8" max="8" width="1.42578125" customWidth="1"/>
    <col min="9" max="10" width="15.28515625" bestFit="1" customWidth="1"/>
  </cols>
  <sheetData>
    <row r="1" spans="2:10" ht="15.75" thickBot="1" x14ac:dyDescent="0.3"/>
    <row r="2" spans="2:10" x14ac:dyDescent="0.25">
      <c r="E2" s="15" t="s">
        <v>84</v>
      </c>
      <c r="F2" s="16"/>
      <c r="G2" s="16"/>
      <c r="H2" s="16"/>
      <c r="I2" s="16"/>
      <c r="J2" s="17"/>
    </row>
    <row r="3" spans="2:10" ht="15.75" thickBot="1" x14ac:dyDescent="0.3">
      <c r="E3" s="21"/>
      <c r="F3" s="22"/>
      <c r="G3" s="22"/>
      <c r="H3" s="19"/>
      <c r="I3" s="19"/>
      <c r="J3" s="20"/>
    </row>
    <row r="4" spans="2:10" x14ac:dyDescent="0.25">
      <c r="B4" s="2"/>
      <c r="C4" s="2" t="s">
        <v>55</v>
      </c>
      <c r="D4" s="2" t="s">
        <v>88</v>
      </c>
      <c r="E4" s="2"/>
      <c r="F4" s="2"/>
      <c r="G4" s="2"/>
      <c r="H4" s="5"/>
      <c r="I4" s="23" t="s">
        <v>85</v>
      </c>
      <c r="J4" s="23"/>
    </row>
    <row r="5" spans="2:10" ht="15.75" thickBot="1" x14ac:dyDescent="0.3">
      <c r="B5" s="2"/>
      <c r="C5" s="2" t="s">
        <v>60</v>
      </c>
      <c r="D5" s="2" t="s">
        <v>54</v>
      </c>
      <c r="E5" s="2" t="s">
        <v>57</v>
      </c>
      <c r="F5" s="2" t="s">
        <v>58</v>
      </c>
      <c r="G5" s="2" t="s">
        <v>59</v>
      </c>
      <c r="H5" s="5"/>
      <c r="I5" s="4" t="s">
        <v>81</v>
      </c>
      <c r="J5" s="4" t="s">
        <v>82</v>
      </c>
    </row>
    <row r="6" spans="2:10" ht="15.75" thickBot="1" x14ac:dyDescent="0.3">
      <c r="B6" s="2" t="s">
        <v>51</v>
      </c>
      <c r="C6" s="3" t="s">
        <v>53</v>
      </c>
      <c r="D6" s="3" t="s">
        <v>52</v>
      </c>
      <c r="E6" s="3">
        <v>65536</v>
      </c>
      <c r="F6" s="3">
        <v>3.79</v>
      </c>
      <c r="G6" s="3">
        <v>17289.61</v>
      </c>
      <c r="H6" s="5"/>
      <c r="I6" s="8">
        <f>AVERAGE(I7:I16)</f>
        <v>3.8830000000000005</v>
      </c>
      <c r="J6" s="8">
        <f>AVERAGE(J7:J16)</f>
        <v>3.85</v>
      </c>
    </row>
    <row r="7" spans="2:10" x14ac:dyDescent="0.25">
      <c r="B7" s="2" t="s">
        <v>61</v>
      </c>
      <c r="C7" s="3" t="s">
        <v>53</v>
      </c>
      <c r="D7" s="3" t="s">
        <v>52</v>
      </c>
      <c r="E7" s="3">
        <v>65536</v>
      </c>
      <c r="F7" s="3">
        <v>3.76</v>
      </c>
      <c r="G7" s="3">
        <v>17425.689999999999</v>
      </c>
      <c r="H7" s="5"/>
      <c r="I7" s="6">
        <f>F6</f>
        <v>3.79</v>
      </c>
      <c r="J7" s="6">
        <f>F17</f>
        <v>3.91</v>
      </c>
    </row>
    <row r="8" spans="2:10" x14ac:dyDescent="0.25">
      <c r="B8" s="2" t="s">
        <v>62</v>
      </c>
      <c r="C8" s="3" t="s">
        <v>53</v>
      </c>
      <c r="D8" s="3" t="s">
        <v>52</v>
      </c>
      <c r="E8" s="3">
        <v>65536</v>
      </c>
      <c r="F8" s="3">
        <v>3.97</v>
      </c>
      <c r="G8" s="3">
        <v>16509.39</v>
      </c>
      <c r="H8" s="5"/>
      <c r="I8" s="3">
        <f t="shared" ref="I8:I16" si="0">F7</f>
        <v>3.76</v>
      </c>
      <c r="J8" s="3">
        <f t="shared" ref="J8:J16" si="1">F18</f>
        <v>3.78</v>
      </c>
    </row>
    <row r="9" spans="2:10" x14ac:dyDescent="0.25">
      <c r="B9" s="2" t="s">
        <v>63</v>
      </c>
      <c r="C9" s="3" t="s">
        <v>53</v>
      </c>
      <c r="D9" s="3" t="s">
        <v>52</v>
      </c>
      <c r="E9" s="3">
        <v>65536</v>
      </c>
      <c r="F9" s="3">
        <v>3.95</v>
      </c>
      <c r="G9" s="3">
        <v>16593.240000000002</v>
      </c>
      <c r="H9" s="5"/>
      <c r="I9" s="3">
        <f t="shared" si="0"/>
        <v>3.97</v>
      </c>
      <c r="J9" s="3">
        <f t="shared" si="1"/>
        <v>3.79</v>
      </c>
    </row>
    <row r="10" spans="2:10" x14ac:dyDescent="0.25">
      <c r="B10" s="2" t="s">
        <v>64</v>
      </c>
      <c r="C10" s="3" t="s">
        <v>53</v>
      </c>
      <c r="D10" s="3" t="s">
        <v>52</v>
      </c>
      <c r="E10" s="3">
        <v>65536</v>
      </c>
      <c r="F10" s="3">
        <v>3.95</v>
      </c>
      <c r="G10" s="3">
        <v>16599.96</v>
      </c>
      <c r="H10" s="5"/>
      <c r="I10" s="3">
        <f t="shared" si="0"/>
        <v>3.95</v>
      </c>
      <c r="J10" s="3">
        <f t="shared" si="1"/>
        <v>3.98</v>
      </c>
    </row>
    <row r="11" spans="2:10" x14ac:dyDescent="0.25">
      <c r="B11" s="2" t="s">
        <v>65</v>
      </c>
      <c r="C11" s="3" t="s">
        <v>53</v>
      </c>
      <c r="D11" s="3" t="s">
        <v>52</v>
      </c>
      <c r="E11" s="3">
        <v>65536</v>
      </c>
      <c r="F11" s="3">
        <v>3.96</v>
      </c>
      <c r="G11" s="3">
        <v>16530.21</v>
      </c>
      <c r="H11" s="5"/>
      <c r="I11" s="3">
        <f t="shared" si="0"/>
        <v>3.95</v>
      </c>
      <c r="J11" s="3">
        <f t="shared" si="1"/>
        <v>3.94</v>
      </c>
    </row>
    <row r="12" spans="2:10" x14ac:dyDescent="0.25">
      <c r="B12" s="2" t="s">
        <v>66</v>
      </c>
      <c r="C12" s="3" t="s">
        <v>53</v>
      </c>
      <c r="D12" s="3" t="s">
        <v>52</v>
      </c>
      <c r="E12" s="3">
        <v>65536</v>
      </c>
      <c r="F12" s="3">
        <v>3.96</v>
      </c>
      <c r="G12" s="3">
        <v>16568.490000000002</v>
      </c>
      <c r="H12" s="5"/>
      <c r="I12" s="3">
        <f t="shared" si="0"/>
        <v>3.96</v>
      </c>
      <c r="J12" s="3">
        <f t="shared" si="1"/>
        <v>3.98</v>
      </c>
    </row>
    <row r="13" spans="2:10" x14ac:dyDescent="0.25">
      <c r="B13" s="2" t="s">
        <v>67</v>
      </c>
      <c r="C13" s="3" t="s">
        <v>53</v>
      </c>
      <c r="D13" s="3" t="s">
        <v>52</v>
      </c>
      <c r="E13" s="3">
        <v>65536</v>
      </c>
      <c r="F13" s="3">
        <v>3.78</v>
      </c>
      <c r="G13" s="3">
        <v>17321.05</v>
      </c>
      <c r="H13" s="5"/>
      <c r="I13" s="3">
        <f t="shared" si="0"/>
        <v>3.96</v>
      </c>
      <c r="J13" s="3">
        <f t="shared" si="1"/>
        <v>3.79</v>
      </c>
    </row>
    <row r="14" spans="2:10" x14ac:dyDescent="0.25">
      <c r="B14" s="2" t="s">
        <v>68</v>
      </c>
      <c r="C14" s="3" t="s">
        <v>53</v>
      </c>
      <c r="D14" s="3" t="s">
        <v>52</v>
      </c>
      <c r="E14" s="3">
        <v>65536</v>
      </c>
      <c r="F14" s="3">
        <v>3.76</v>
      </c>
      <c r="G14" s="3">
        <v>17427.54</v>
      </c>
      <c r="H14" s="5"/>
      <c r="I14" s="3">
        <f t="shared" si="0"/>
        <v>3.78</v>
      </c>
      <c r="J14" s="3">
        <f t="shared" si="1"/>
        <v>3.8</v>
      </c>
    </row>
    <row r="15" spans="2:10" x14ac:dyDescent="0.25">
      <c r="B15" s="2" t="s">
        <v>69</v>
      </c>
      <c r="C15" s="3" t="s">
        <v>53</v>
      </c>
      <c r="D15" s="3" t="s">
        <v>52</v>
      </c>
      <c r="E15" s="3">
        <v>65536</v>
      </c>
      <c r="F15" s="3">
        <v>3.95</v>
      </c>
      <c r="G15" s="3">
        <v>16587.939999999999</v>
      </c>
      <c r="H15" s="5"/>
      <c r="I15" s="3">
        <f t="shared" si="0"/>
        <v>3.76</v>
      </c>
      <c r="J15" s="3">
        <v>3.75</v>
      </c>
    </row>
    <row r="16" spans="2:10" x14ac:dyDescent="0.25">
      <c r="B16" s="2"/>
      <c r="C16" s="2" t="s">
        <v>55</v>
      </c>
      <c r="D16" s="2" t="s">
        <v>87</v>
      </c>
      <c r="E16" s="2"/>
      <c r="F16" s="2"/>
      <c r="G16" s="2"/>
      <c r="H16" s="5"/>
      <c r="I16" s="3">
        <f t="shared" si="0"/>
        <v>3.95</v>
      </c>
      <c r="J16" s="3">
        <f t="shared" si="1"/>
        <v>3.78</v>
      </c>
    </row>
    <row r="17" spans="2:10" x14ac:dyDescent="0.25">
      <c r="B17" s="2" t="s">
        <v>70</v>
      </c>
      <c r="C17" s="3" t="s">
        <v>52</v>
      </c>
      <c r="D17" s="3" t="s">
        <v>53</v>
      </c>
      <c r="E17" s="3">
        <v>65536</v>
      </c>
      <c r="F17" s="3">
        <v>3.91</v>
      </c>
      <c r="G17" s="3">
        <v>16765.23</v>
      </c>
      <c r="H17" s="5"/>
      <c r="I17" s="24" t="s">
        <v>86</v>
      </c>
      <c r="J17" s="24"/>
    </row>
    <row r="18" spans="2:10" ht="15.75" thickBot="1" x14ac:dyDescent="0.3">
      <c r="B18" s="2" t="s">
        <v>71</v>
      </c>
      <c r="C18" s="3" t="s">
        <v>52</v>
      </c>
      <c r="D18" s="3" t="s">
        <v>53</v>
      </c>
      <c r="E18" s="3">
        <v>65536</v>
      </c>
      <c r="F18" s="3">
        <v>3.78</v>
      </c>
      <c r="G18" s="3">
        <v>17323.060000000001</v>
      </c>
      <c r="H18" s="5"/>
      <c r="I18" s="4" t="s">
        <v>81</v>
      </c>
      <c r="J18" s="4" t="s">
        <v>82</v>
      </c>
    </row>
    <row r="19" spans="2:10" ht="15.75" thickBot="1" x14ac:dyDescent="0.3">
      <c r="B19" s="2" t="s">
        <v>72</v>
      </c>
      <c r="C19" s="3" t="s">
        <v>52</v>
      </c>
      <c r="D19" s="3" t="s">
        <v>53</v>
      </c>
      <c r="E19" s="3">
        <v>65536</v>
      </c>
      <c r="F19" s="3">
        <v>3.79</v>
      </c>
      <c r="G19" s="3">
        <v>17290.98</v>
      </c>
      <c r="H19" s="5"/>
      <c r="I19" s="8">
        <f>AVERAGE(I20:I29)</f>
        <v>16885.312000000002</v>
      </c>
      <c r="J19" s="8">
        <f>AVERAGE(J20:J29)</f>
        <v>17030.616000000002</v>
      </c>
    </row>
    <row r="20" spans="2:10" x14ac:dyDescent="0.25">
      <c r="B20" s="2" t="s">
        <v>73</v>
      </c>
      <c r="C20" s="3" t="s">
        <v>52</v>
      </c>
      <c r="D20" s="3" t="s">
        <v>53</v>
      </c>
      <c r="E20" s="3">
        <v>65536</v>
      </c>
      <c r="F20" s="3">
        <v>3.98</v>
      </c>
      <c r="G20" s="3">
        <v>16464.509999999998</v>
      </c>
      <c r="H20" s="5"/>
      <c r="I20" s="6">
        <f>G6</f>
        <v>17289.61</v>
      </c>
      <c r="J20" s="6">
        <f>G17</f>
        <v>16765.23</v>
      </c>
    </row>
    <row r="21" spans="2:10" x14ac:dyDescent="0.25">
      <c r="B21" s="2" t="s">
        <v>74</v>
      </c>
      <c r="C21" s="3" t="s">
        <v>52</v>
      </c>
      <c r="D21" s="3" t="s">
        <v>53</v>
      </c>
      <c r="E21" s="3">
        <v>65536</v>
      </c>
      <c r="F21" s="3">
        <v>3.94</v>
      </c>
      <c r="G21" s="3">
        <v>16615.87</v>
      </c>
      <c r="H21" s="5"/>
      <c r="I21" s="3">
        <f t="shared" ref="I21:I29" si="2">G7</f>
        <v>17425.689999999999</v>
      </c>
      <c r="J21" s="3">
        <f t="shared" ref="J21:J29" si="3">G18</f>
        <v>17323.060000000001</v>
      </c>
    </row>
    <row r="22" spans="2:10" x14ac:dyDescent="0.25">
      <c r="B22" s="2" t="s">
        <v>75</v>
      </c>
      <c r="C22" s="3" t="s">
        <v>52</v>
      </c>
      <c r="D22" s="3" t="s">
        <v>53</v>
      </c>
      <c r="E22" s="3">
        <v>65536</v>
      </c>
      <c r="F22" s="3">
        <v>3.98</v>
      </c>
      <c r="G22" s="3">
        <v>16455.830000000002</v>
      </c>
      <c r="H22" s="5"/>
      <c r="I22" s="3">
        <f t="shared" si="2"/>
        <v>16509.39</v>
      </c>
      <c r="J22" s="3">
        <f t="shared" si="3"/>
        <v>17290.98</v>
      </c>
    </row>
    <row r="23" spans="2:10" x14ac:dyDescent="0.25">
      <c r="B23" s="2" t="s">
        <v>76</v>
      </c>
      <c r="C23" s="3" t="s">
        <v>52</v>
      </c>
      <c r="D23" s="3" t="s">
        <v>53</v>
      </c>
      <c r="E23" s="3">
        <v>65536</v>
      </c>
      <c r="F23" s="3">
        <v>3.79</v>
      </c>
      <c r="G23" s="3">
        <v>17292.62</v>
      </c>
      <c r="H23" s="5"/>
      <c r="I23" s="3">
        <f t="shared" si="2"/>
        <v>16593.240000000002</v>
      </c>
      <c r="J23" s="3">
        <f t="shared" si="3"/>
        <v>16464.509999999998</v>
      </c>
    </row>
    <row r="24" spans="2:10" x14ac:dyDescent="0.25">
      <c r="B24" s="2" t="s">
        <v>77</v>
      </c>
      <c r="C24" s="3" t="s">
        <v>52</v>
      </c>
      <c r="D24" s="3" t="s">
        <v>53</v>
      </c>
      <c r="E24" s="3">
        <v>65536</v>
      </c>
      <c r="F24" s="3">
        <v>3.8</v>
      </c>
      <c r="G24" s="3">
        <v>17255.560000000001</v>
      </c>
      <c r="H24" s="5"/>
      <c r="I24" s="3">
        <f t="shared" si="2"/>
        <v>16599.96</v>
      </c>
      <c r="J24" s="3">
        <f t="shared" si="3"/>
        <v>16615.87</v>
      </c>
    </row>
    <row r="25" spans="2:10" x14ac:dyDescent="0.25">
      <c r="B25" s="2" t="s">
        <v>78</v>
      </c>
      <c r="C25" s="3" t="s">
        <v>52</v>
      </c>
      <c r="D25" s="3" t="s">
        <v>53</v>
      </c>
      <c r="E25" s="3">
        <v>65536</v>
      </c>
      <c r="F25" s="3">
        <v>3.8</v>
      </c>
      <c r="G25" s="3">
        <v>17255.560000000001</v>
      </c>
      <c r="H25" s="5"/>
      <c r="I25" s="3">
        <f t="shared" si="2"/>
        <v>16530.21</v>
      </c>
      <c r="J25" s="3">
        <f t="shared" si="3"/>
        <v>16455.830000000002</v>
      </c>
    </row>
    <row r="26" spans="2:10" x14ac:dyDescent="0.25">
      <c r="B26" s="2" t="s">
        <v>79</v>
      </c>
      <c r="C26" s="3" t="s">
        <v>52</v>
      </c>
      <c r="D26" s="3" t="s">
        <v>53</v>
      </c>
      <c r="E26" s="3">
        <v>65536</v>
      </c>
      <c r="F26" s="3">
        <v>3.78</v>
      </c>
      <c r="G26" s="3">
        <v>17345.63</v>
      </c>
      <c r="H26" s="5"/>
      <c r="I26" s="3">
        <f t="shared" si="2"/>
        <v>16568.490000000002</v>
      </c>
      <c r="J26" s="3">
        <f t="shared" si="3"/>
        <v>17292.62</v>
      </c>
    </row>
    <row r="27" spans="2:10" x14ac:dyDescent="0.25">
      <c r="H27" s="5"/>
      <c r="I27" s="3">
        <f t="shared" si="2"/>
        <v>17321.05</v>
      </c>
      <c r="J27" s="3">
        <f t="shared" si="3"/>
        <v>17255.560000000001</v>
      </c>
    </row>
    <row r="28" spans="2:10" x14ac:dyDescent="0.25">
      <c r="H28" s="5"/>
      <c r="I28" s="3">
        <f t="shared" si="2"/>
        <v>17427.54</v>
      </c>
      <c r="J28" s="3">
        <v>17496.87</v>
      </c>
    </row>
    <row r="29" spans="2:10" x14ac:dyDescent="0.25">
      <c r="H29" s="5"/>
      <c r="I29" s="3">
        <f t="shared" si="2"/>
        <v>16587.939999999999</v>
      </c>
      <c r="J29" s="3">
        <f t="shared" si="3"/>
        <v>17345.63</v>
      </c>
    </row>
  </sheetData>
  <mergeCells count="3">
    <mergeCell ref="E2:J3"/>
    <mergeCell ref="I4:J4"/>
    <mergeCell ref="I17:J17"/>
  </mergeCells>
  <conditionalFormatting sqref="I6:J6">
    <cfRule type="top10" dxfId="15" priority="3" bottom="1" rank="1"/>
  </conditionalFormatting>
  <conditionalFormatting sqref="I19:J19">
    <cfRule type="top10" dxfId="14" priority="2" rank="1"/>
  </conditionalFormatting>
  <conditionalFormatting sqref="F6:F26">
    <cfRule type="top10" dxfId="3" priority="1" rank="1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630B2-57AF-4C31-A6C6-2D7DBE777F0B}">
  <dimension ref="C4:K32"/>
  <sheetViews>
    <sheetView topLeftCell="A4" zoomScale="70" zoomScaleNormal="70" workbookViewId="0">
      <selection activeCell="H20" sqref="H20:H29"/>
    </sheetView>
  </sheetViews>
  <sheetFormatPr defaultRowHeight="15" x14ac:dyDescent="0.25"/>
  <cols>
    <col min="3" max="3" width="7.7109375" bestFit="1" customWidth="1"/>
    <col min="4" max="4" width="10.7109375" bestFit="1" customWidth="1"/>
    <col min="5" max="5" width="8.7109375" bestFit="1" customWidth="1"/>
    <col min="6" max="6" width="6.28515625" bestFit="1" customWidth="1"/>
    <col min="7" max="7" width="7.140625" bestFit="1" customWidth="1"/>
    <col min="8" max="8" width="11.7109375" bestFit="1" customWidth="1"/>
    <col min="9" max="9" width="1.28515625" customWidth="1"/>
    <col min="10" max="11" width="15.28515625" bestFit="1" customWidth="1"/>
  </cols>
  <sheetData>
    <row r="4" spans="3:11" ht="15.75" thickBot="1" x14ac:dyDescent="0.3"/>
    <row r="5" spans="3:11" x14ac:dyDescent="0.25">
      <c r="F5" s="15" t="s">
        <v>89</v>
      </c>
      <c r="G5" s="16"/>
      <c r="H5" s="16"/>
      <c r="I5" s="16"/>
      <c r="J5" s="16"/>
      <c r="K5" s="17"/>
    </row>
    <row r="6" spans="3:11" ht="15.75" thickBot="1" x14ac:dyDescent="0.3">
      <c r="F6" s="21"/>
      <c r="G6" s="22"/>
      <c r="H6" s="22"/>
      <c r="I6" s="19"/>
      <c r="J6" s="19"/>
      <c r="K6" s="20"/>
    </row>
    <row r="7" spans="3:11" x14ac:dyDescent="0.25">
      <c r="C7" s="2"/>
      <c r="D7" s="2" t="s">
        <v>55</v>
      </c>
      <c r="E7" s="25"/>
      <c r="F7" s="24"/>
      <c r="G7" s="24"/>
      <c r="H7" s="26"/>
      <c r="I7" s="5"/>
      <c r="J7" s="23" t="s">
        <v>85</v>
      </c>
      <c r="K7" s="23"/>
    </row>
    <row r="8" spans="3:11" ht="15.75" thickBot="1" x14ac:dyDescent="0.3">
      <c r="C8" s="2"/>
      <c r="D8" s="2" t="s">
        <v>60</v>
      </c>
      <c r="E8" s="2" t="s">
        <v>54</v>
      </c>
      <c r="F8" s="2" t="s">
        <v>57</v>
      </c>
      <c r="G8" s="2" t="s">
        <v>90</v>
      </c>
      <c r="H8" s="2" t="s">
        <v>92</v>
      </c>
      <c r="I8" s="5"/>
      <c r="J8" s="4" t="s">
        <v>81</v>
      </c>
      <c r="K8" s="4" t="s">
        <v>82</v>
      </c>
    </row>
    <row r="9" spans="3:11" ht="15.75" thickBot="1" x14ac:dyDescent="0.3">
      <c r="C9" s="2" t="s">
        <v>51</v>
      </c>
      <c r="D9" s="3" t="s">
        <v>53</v>
      </c>
      <c r="E9" s="3" t="s">
        <v>52</v>
      </c>
      <c r="F9" s="3">
        <v>8192</v>
      </c>
      <c r="G9" s="3">
        <v>967</v>
      </c>
      <c r="H9" s="3">
        <v>2.7210000000000001</v>
      </c>
      <c r="I9" s="5"/>
      <c r="J9" s="8">
        <f>AVERAGE(J10:J19)</f>
        <v>1.0359000000000003</v>
      </c>
      <c r="K9" s="8">
        <f>AVERAGE(K10:K19)</f>
        <v>1.0368999999999999</v>
      </c>
    </row>
    <row r="10" spans="3:11" x14ac:dyDescent="0.25">
      <c r="C10" s="2" t="s">
        <v>61</v>
      </c>
      <c r="D10" s="3" t="s">
        <v>53</v>
      </c>
      <c r="E10" s="3" t="s">
        <v>52</v>
      </c>
      <c r="F10" s="3">
        <v>8192</v>
      </c>
      <c r="G10" s="3">
        <v>970</v>
      </c>
      <c r="H10" s="3">
        <v>2.7240000000000002</v>
      </c>
      <c r="I10" s="5"/>
      <c r="J10" s="6">
        <f>H9/2</f>
        <v>1.3605</v>
      </c>
      <c r="K10" s="6">
        <f>H20/2</f>
        <v>1.3680000000000001</v>
      </c>
    </row>
    <row r="11" spans="3:11" x14ac:dyDescent="0.25">
      <c r="C11" s="2" t="s">
        <v>62</v>
      </c>
      <c r="D11" s="3" t="s">
        <v>53</v>
      </c>
      <c r="E11" s="3" t="s">
        <v>52</v>
      </c>
      <c r="F11" s="3">
        <v>8192</v>
      </c>
      <c r="G11" s="3">
        <v>970</v>
      </c>
      <c r="H11" s="3">
        <v>2.7229999999999999</v>
      </c>
      <c r="I11" s="5"/>
      <c r="J11" s="6">
        <f t="shared" ref="J11:J19" si="0">H10/2</f>
        <v>1.3620000000000001</v>
      </c>
      <c r="K11" s="6">
        <f t="shared" ref="K11:K19" si="1">H21/2</f>
        <v>1.3585</v>
      </c>
    </row>
    <row r="12" spans="3:11" x14ac:dyDescent="0.25">
      <c r="C12" s="2" t="s">
        <v>63</v>
      </c>
      <c r="D12" s="3" t="s">
        <v>53</v>
      </c>
      <c r="E12" s="3" t="s">
        <v>52</v>
      </c>
      <c r="F12" s="3">
        <v>8192</v>
      </c>
      <c r="G12" s="3">
        <v>971</v>
      </c>
      <c r="H12" s="3">
        <v>2.7170000000000001</v>
      </c>
      <c r="I12" s="5"/>
      <c r="J12" s="6">
        <f t="shared" si="0"/>
        <v>1.3614999999999999</v>
      </c>
      <c r="K12" s="6">
        <f t="shared" si="1"/>
        <v>1.36</v>
      </c>
    </row>
    <row r="13" spans="3:11" x14ac:dyDescent="0.25">
      <c r="C13" s="2" t="s">
        <v>64</v>
      </c>
      <c r="D13" s="3" t="s">
        <v>53</v>
      </c>
      <c r="E13" s="3" t="s">
        <v>52</v>
      </c>
      <c r="F13" s="3">
        <v>8192</v>
      </c>
      <c r="G13" s="3">
        <v>970</v>
      </c>
      <c r="H13" s="3">
        <v>2.7229999999999999</v>
      </c>
      <c r="I13" s="5"/>
      <c r="J13" s="6">
        <f t="shared" si="0"/>
        <v>1.3585</v>
      </c>
      <c r="K13" s="6">
        <f t="shared" si="1"/>
        <v>1.3620000000000001</v>
      </c>
    </row>
    <row r="14" spans="3:11" x14ac:dyDescent="0.25">
      <c r="C14" s="2" t="s">
        <v>65</v>
      </c>
      <c r="D14" s="3" t="s">
        <v>53</v>
      </c>
      <c r="E14" s="3" t="s">
        <v>52</v>
      </c>
      <c r="F14" s="3">
        <v>64</v>
      </c>
      <c r="G14" s="3">
        <v>623</v>
      </c>
      <c r="H14" s="3">
        <v>1.425</v>
      </c>
      <c r="I14" s="5"/>
      <c r="J14" s="6">
        <f t="shared" si="0"/>
        <v>1.3614999999999999</v>
      </c>
      <c r="K14" s="6">
        <f t="shared" si="1"/>
        <v>1.3605</v>
      </c>
    </row>
    <row r="15" spans="3:11" x14ac:dyDescent="0.25">
      <c r="C15" s="2" t="s">
        <v>66</v>
      </c>
      <c r="D15" s="3" t="s">
        <v>53</v>
      </c>
      <c r="E15" s="3" t="s">
        <v>52</v>
      </c>
      <c r="F15" s="3">
        <v>64</v>
      </c>
      <c r="G15" s="3">
        <v>622</v>
      </c>
      <c r="H15" s="3">
        <v>1.4239999999999999</v>
      </c>
      <c r="I15" s="5"/>
      <c r="J15" s="6">
        <f t="shared" si="0"/>
        <v>0.71250000000000002</v>
      </c>
      <c r="K15" s="6">
        <f t="shared" si="1"/>
        <v>0.71199999999999997</v>
      </c>
    </row>
    <row r="16" spans="3:11" x14ac:dyDescent="0.25">
      <c r="C16" s="2" t="s">
        <v>67</v>
      </c>
      <c r="D16" s="3" t="s">
        <v>53</v>
      </c>
      <c r="E16" s="3" t="s">
        <v>52</v>
      </c>
      <c r="F16" s="3">
        <v>64</v>
      </c>
      <c r="G16" s="3">
        <v>624</v>
      </c>
      <c r="H16" s="3">
        <v>1.42</v>
      </c>
      <c r="I16" s="5"/>
      <c r="J16" s="6">
        <f t="shared" si="0"/>
        <v>0.71199999999999997</v>
      </c>
      <c r="K16" s="6">
        <f t="shared" si="1"/>
        <v>0.71150000000000002</v>
      </c>
    </row>
    <row r="17" spans="3:11" x14ac:dyDescent="0.25">
      <c r="C17" s="2" t="s">
        <v>68</v>
      </c>
      <c r="D17" s="3" t="s">
        <v>53</v>
      </c>
      <c r="E17" s="3" t="s">
        <v>52</v>
      </c>
      <c r="F17" s="3">
        <v>64</v>
      </c>
      <c r="G17" s="3">
        <v>630</v>
      </c>
      <c r="H17" s="3">
        <v>1.4239999999999999</v>
      </c>
      <c r="I17" s="5"/>
      <c r="J17" s="6">
        <f t="shared" si="0"/>
        <v>0.71</v>
      </c>
      <c r="K17" s="6">
        <f t="shared" si="1"/>
        <v>0.71250000000000002</v>
      </c>
    </row>
    <row r="18" spans="3:11" x14ac:dyDescent="0.25">
      <c r="C18" s="2" t="s">
        <v>69</v>
      </c>
      <c r="D18" s="3" t="s">
        <v>53</v>
      </c>
      <c r="E18" s="3" t="s">
        <v>52</v>
      </c>
      <c r="F18" s="3">
        <v>64</v>
      </c>
      <c r="G18" s="3">
        <v>622</v>
      </c>
      <c r="H18" s="3">
        <v>1.417</v>
      </c>
      <c r="I18" s="5"/>
      <c r="J18" s="6">
        <f t="shared" si="0"/>
        <v>0.71199999999999997</v>
      </c>
      <c r="K18" s="6">
        <f t="shared" si="1"/>
        <v>0.71199999999999997</v>
      </c>
    </row>
    <row r="19" spans="3:11" x14ac:dyDescent="0.25">
      <c r="C19" s="2"/>
      <c r="D19" s="2" t="s">
        <v>55</v>
      </c>
      <c r="E19" s="25"/>
      <c r="F19" s="24"/>
      <c r="G19" s="24"/>
      <c r="H19" s="26"/>
      <c r="I19" s="5"/>
      <c r="J19" s="6">
        <f t="shared" si="0"/>
        <v>0.70850000000000002</v>
      </c>
      <c r="K19" s="6">
        <f t="shared" si="1"/>
        <v>0.71199999999999997</v>
      </c>
    </row>
    <row r="20" spans="3:11" x14ac:dyDescent="0.25">
      <c r="C20" s="2" t="s">
        <v>70</v>
      </c>
      <c r="D20" s="3" t="s">
        <v>52</v>
      </c>
      <c r="E20" s="3" t="s">
        <v>53</v>
      </c>
      <c r="F20" s="3">
        <v>8192</v>
      </c>
      <c r="G20" s="3">
        <v>969</v>
      </c>
      <c r="H20" s="3">
        <v>2.7360000000000002</v>
      </c>
      <c r="I20" s="5"/>
      <c r="J20" s="24" t="s">
        <v>91</v>
      </c>
      <c r="K20" s="24"/>
    </row>
    <row r="21" spans="3:11" ht="15.75" thickBot="1" x14ac:dyDescent="0.3">
      <c r="C21" s="2" t="s">
        <v>71</v>
      </c>
      <c r="D21" s="3" t="s">
        <v>52</v>
      </c>
      <c r="E21" s="3" t="s">
        <v>53</v>
      </c>
      <c r="F21" s="3">
        <v>8192</v>
      </c>
      <c r="G21" s="3">
        <v>989</v>
      </c>
      <c r="H21" s="3">
        <v>2.7170000000000001</v>
      </c>
      <c r="I21" s="5"/>
      <c r="J21" s="4" t="s">
        <v>81</v>
      </c>
      <c r="K21" s="4" t="s">
        <v>82</v>
      </c>
    </row>
    <row r="22" spans="3:11" ht="15.75" thickBot="1" x14ac:dyDescent="0.3">
      <c r="C22" s="2" t="s">
        <v>72</v>
      </c>
      <c r="D22" s="3" t="s">
        <v>52</v>
      </c>
      <c r="E22" s="3" t="s">
        <v>53</v>
      </c>
      <c r="F22" s="3">
        <v>8192</v>
      </c>
      <c r="G22" s="3">
        <v>982</v>
      </c>
      <c r="H22" s="3">
        <v>2.72</v>
      </c>
      <c r="I22" s="5"/>
      <c r="J22" s="7">
        <f>AVERAGE(J23:J32)</f>
        <v>3025.5380285213055</v>
      </c>
      <c r="K22" s="7">
        <f>AVERAGE(K23:K32)</f>
        <v>3022.8543027000428</v>
      </c>
    </row>
    <row r="23" spans="3:11" x14ac:dyDescent="0.25">
      <c r="C23" s="2" t="s">
        <v>73</v>
      </c>
      <c r="D23" s="3" t="s">
        <v>52</v>
      </c>
      <c r="E23" s="3" t="s">
        <v>53</v>
      </c>
      <c r="F23" s="3">
        <v>8192</v>
      </c>
      <c r="G23" s="3">
        <v>992</v>
      </c>
      <c r="H23" s="3">
        <v>2.7240000000000002</v>
      </c>
      <c r="I23" s="5"/>
      <c r="J23" s="10">
        <f>IFERROR((F9*(1-(G9/100000))/(H9/2)),0)</f>
        <v>5963.089570011025</v>
      </c>
      <c r="K23" s="10">
        <f>IFERROR((F20*(1-(G20/100000))/(H20/2)),0)</f>
        <v>5930.277426900584</v>
      </c>
    </row>
    <row r="24" spans="3:11" x14ac:dyDescent="0.25">
      <c r="C24" s="2" t="s">
        <v>74</v>
      </c>
      <c r="D24" s="3" t="s">
        <v>52</v>
      </c>
      <c r="E24" s="3" t="s">
        <v>53</v>
      </c>
      <c r="F24" s="3">
        <v>8192</v>
      </c>
      <c r="G24" s="3">
        <v>989</v>
      </c>
      <c r="H24" s="3">
        <v>2.7210000000000001</v>
      </c>
      <c r="I24" s="5"/>
      <c r="J24" s="10">
        <f>IFERROR((F10*(1-(G10/100000))/(H10/2)),0)</f>
        <v>5956.341850220264</v>
      </c>
      <c r="K24" s="10">
        <f t="shared" ref="K24:K32" si="2">IFERROR((F21*(1-(G21/100000))/(H21/2)),0)</f>
        <v>5970.5418623481783</v>
      </c>
    </row>
    <row r="25" spans="3:11" x14ac:dyDescent="0.25">
      <c r="C25" s="2" t="s">
        <v>75</v>
      </c>
      <c r="D25" s="3" t="s">
        <v>52</v>
      </c>
      <c r="E25" s="3" t="s">
        <v>53</v>
      </c>
      <c r="F25" s="3">
        <v>64</v>
      </c>
      <c r="G25" s="3">
        <v>638</v>
      </c>
      <c r="H25" s="3">
        <v>1.4239999999999999</v>
      </c>
      <c r="I25" s="5"/>
      <c r="J25" s="10">
        <f t="shared" ref="J25:J32" si="3">IFERROR((F11*(1-(G11/100000))/(H11/2)),0)</f>
        <v>5958.5292691883951</v>
      </c>
      <c r="K25" s="10">
        <f t="shared" si="2"/>
        <v>5964.3783529411758</v>
      </c>
    </row>
    <row r="26" spans="3:11" x14ac:dyDescent="0.25">
      <c r="C26" s="2" t="s">
        <v>76</v>
      </c>
      <c r="D26" s="3" t="s">
        <v>52</v>
      </c>
      <c r="E26" s="3" t="s">
        <v>53</v>
      </c>
      <c r="F26" s="3">
        <v>64</v>
      </c>
      <c r="G26" s="3">
        <v>646</v>
      </c>
      <c r="H26" s="3">
        <v>1.423</v>
      </c>
      <c r="I26" s="5"/>
      <c r="J26" s="10">
        <f t="shared" si="3"/>
        <v>5971.6272948104524</v>
      </c>
      <c r="K26" s="10">
        <f t="shared" si="2"/>
        <v>5955.0186196769446</v>
      </c>
    </row>
    <row r="27" spans="3:11" x14ac:dyDescent="0.25">
      <c r="C27" s="2" t="s">
        <v>77</v>
      </c>
      <c r="D27" s="3" t="s">
        <v>52</v>
      </c>
      <c r="E27" s="3" t="s">
        <v>53</v>
      </c>
      <c r="F27" s="3">
        <v>64</v>
      </c>
      <c r="G27" s="3">
        <v>644</v>
      </c>
      <c r="H27" s="3">
        <v>1.425</v>
      </c>
      <c r="I27" s="5"/>
      <c r="J27" s="10">
        <f t="shared" si="3"/>
        <v>5958.5292691883951</v>
      </c>
      <c r="K27" s="10">
        <f t="shared" si="2"/>
        <v>5961.7648805586186</v>
      </c>
    </row>
    <row r="28" spans="3:11" x14ac:dyDescent="0.25">
      <c r="C28" s="2" t="s">
        <v>78</v>
      </c>
      <c r="D28" s="3" t="s">
        <v>52</v>
      </c>
      <c r="E28" s="3" t="s">
        <v>53</v>
      </c>
      <c r="F28" s="3">
        <v>64</v>
      </c>
      <c r="G28" s="3">
        <v>634</v>
      </c>
      <c r="H28" s="3">
        <v>1.4239999999999999</v>
      </c>
      <c r="I28" s="5"/>
      <c r="J28" s="10">
        <f t="shared" si="3"/>
        <v>89.264954385964913</v>
      </c>
      <c r="K28" s="10">
        <f t="shared" si="2"/>
        <v>89.314157303370791</v>
      </c>
    </row>
    <row r="29" spans="3:11" x14ac:dyDescent="0.25">
      <c r="C29" s="2" t="s">
        <v>79</v>
      </c>
      <c r="D29" s="3" t="s">
        <v>52</v>
      </c>
      <c r="E29" s="3" t="s">
        <v>53</v>
      </c>
      <c r="F29" s="3">
        <v>64</v>
      </c>
      <c r="G29" s="3">
        <v>638</v>
      </c>
      <c r="H29" s="3">
        <v>1.4239999999999999</v>
      </c>
      <c r="I29" s="5"/>
      <c r="J29" s="10">
        <f t="shared" si="3"/>
        <v>89.328539325842698</v>
      </c>
      <c r="K29" s="10">
        <f t="shared" si="2"/>
        <v>89.369725931131413</v>
      </c>
    </row>
    <row r="30" spans="3:11" x14ac:dyDescent="0.25">
      <c r="I30" s="5"/>
      <c r="J30" s="10">
        <f t="shared" si="3"/>
        <v>89.578366197183101</v>
      </c>
      <c r="K30" s="10">
        <f t="shared" si="2"/>
        <v>89.246091228070171</v>
      </c>
    </row>
    <row r="31" spans="3:11" x14ac:dyDescent="0.25">
      <c r="I31" s="5"/>
      <c r="J31" s="10">
        <f t="shared" si="3"/>
        <v>89.321348314606752</v>
      </c>
      <c r="K31" s="10">
        <f t="shared" si="2"/>
        <v>89.317752808988772</v>
      </c>
    </row>
    <row r="32" spans="3:11" x14ac:dyDescent="0.25">
      <c r="I32" s="5"/>
      <c r="J32" s="10">
        <f t="shared" si="3"/>
        <v>89.769823570924487</v>
      </c>
      <c r="K32" s="10">
        <f t="shared" si="2"/>
        <v>89.314157303370791</v>
      </c>
    </row>
  </sheetData>
  <mergeCells count="5">
    <mergeCell ref="F5:K6"/>
    <mergeCell ref="J7:K7"/>
    <mergeCell ref="J20:K20"/>
    <mergeCell ref="E7:H7"/>
    <mergeCell ref="E19:H19"/>
  </mergeCells>
  <conditionalFormatting sqref="J9:K9">
    <cfRule type="top10" dxfId="13" priority="4" bottom="1" rank="1"/>
  </conditionalFormatting>
  <conditionalFormatting sqref="J22:K22">
    <cfRule type="top10" dxfId="12" priority="3" rank="1"/>
  </conditionalFormatting>
  <conditionalFormatting sqref="H9:I18">
    <cfRule type="top10" dxfId="2" priority="2" rank="1"/>
  </conditionalFormatting>
  <conditionalFormatting sqref="H20:H29">
    <cfRule type="top10" dxfId="1" priority="1" rank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D22EC-2D29-4A05-9AB0-259CE8333527}">
  <dimension ref="B4:T31"/>
  <sheetViews>
    <sheetView topLeftCell="A4" zoomScale="70" zoomScaleNormal="70" workbookViewId="0">
      <selection activeCell="K50" sqref="K50"/>
    </sheetView>
  </sheetViews>
  <sheetFormatPr defaultRowHeight="15" x14ac:dyDescent="0.25"/>
  <cols>
    <col min="2" max="2" width="7.28515625" bestFit="1" customWidth="1"/>
    <col min="3" max="4" width="8.7109375" bestFit="1" customWidth="1"/>
    <col min="5" max="5" width="7.42578125" bestFit="1" customWidth="1"/>
    <col min="6" max="6" width="9.140625" bestFit="1" customWidth="1"/>
    <col min="7" max="7" width="29.140625" customWidth="1"/>
    <col min="8" max="8" width="9.140625" bestFit="1" customWidth="1"/>
    <col min="9" max="9" width="28.5703125" customWidth="1"/>
    <col min="10" max="10" width="9.140625" bestFit="1" customWidth="1"/>
    <col min="11" max="11" width="33.7109375" customWidth="1"/>
    <col min="12" max="12" width="9.140625" bestFit="1" customWidth="1"/>
    <col min="13" max="13" width="33.85546875" customWidth="1"/>
    <col min="14" max="14" width="9.140625" bestFit="1" customWidth="1"/>
    <col min="15" max="15" width="23.5703125" customWidth="1"/>
    <col min="16" max="16" width="9.140625" bestFit="1" customWidth="1"/>
    <col min="17" max="17" width="30.140625" customWidth="1"/>
    <col min="19" max="20" width="15.28515625" bestFit="1" customWidth="1"/>
    <col min="33" max="34" width="12.140625" bestFit="1" customWidth="1"/>
  </cols>
  <sheetData>
    <row r="4" spans="2:20" ht="15.75" thickBot="1" x14ac:dyDescent="0.3"/>
    <row r="5" spans="2:20" x14ac:dyDescent="0.25">
      <c r="F5" s="15" t="s">
        <v>93</v>
      </c>
      <c r="G5" s="16"/>
      <c r="H5" s="16"/>
      <c r="I5" s="16"/>
      <c r="J5" s="16"/>
      <c r="K5" s="17"/>
    </row>
    <row r="6" spans="2:20" ht="15.75" thickBot="1" x14ac:dyDescent="0.3">
      <c r="F6" s="21"/>
      <c r="G6" s="22"/>
      <c r="H6" s="22"/>
      <c r="I6" s="19"/>
      <c r="J6" s="19"/>
      <c r="K6" s="20"/>
      <c r="S6" s="27" t="s">
        <v>85</v>
      </c>
      <c r="T6" s="27"/>
    </row>
    <row r="7" spans="2:20" x14ac:dyDescent="0.25">
      <c r="F7" s="27" t="s">
        <v>94</v>
      </c>
      <c r="G7" s="27"/>
      <c r="H7" s="27" t="s">
        <v>97</v>
      </c>
      <c r="I7" s="27"/>
      <c r="J7" s="27" t="s">
        <v>98</v>
      </c>
      <c r="K7" s="27"/>
      <c r="L7" s="27" t="s">
        <v>99</v>
      </c>
      <c r="M7" s="27"/>
      <c r="N7" s="27" t="s">
        <v>100</v>
      </c>
      <c r="O7" s="27"/>
      <c r="P7" s="27" t="s">
        <v>101</v>
      </c>
      <c r="Q7" s="27"/>
      <c r="R7" s="5"/>
      <c r="S7" s="2" t="s">
        <v>82</v>
      </c>
      <c r="T7" s="2" t="s">
        <v>81</v>
      </c>
    </row>
    <row r="8" spans="2:20" ht="15.75" thickBot="1" x14ac:dyDescent="0.3">
      <c r="F8" s="4" t="s">
        <v>96</v>
      </c>
      <c r="G8" s="4" t="s">
        <v>95</v>
      </c>
      <c r="H8" s="4" t="s">
        <v>96</v>
      </c>
      <c r="I8" s="4" t="s">
        <v>95</v>
      </c>
      <c r="J8" s="4" t="s">
        <v>96</v>
      </c>
      <c r="K8" s="4" t="s">
        <v>95</v>
      </c>
      <c r="L8" s="4" t="s">
        <v>96</v>
      </c>
      <c r="M8" s="4" t="s">
        <v>95</v>
      </c>
      <c r="N8" s="4" t="s">
        <v>96</v>
      </c>
      <c r="O8" s="4" t="s">
        <v>95</v>
      </c>
      <c r="P8" s="4" t="s">
        <v>96</v>
      </c>
      <c r="Q8" s="4" t="s">
        <v>95</v>
      </c>
      <c r="R8" s="5"/>
      <c r="S8" s="14">
        <f>AVERAGE(S9:S18)</f>
        <v>5.9266666666666667</v>
      </c>
      <c r="T8" s="14">
        <f>AVERAGE(T9:T18)</f>
        <v>5.725833333333334</v>
      </c>
    </row>
    <row r="9" spans="2:20" ht="15.75" thickBot="1" x14ac:dyDescent="0.3">
      <c r="B9" s="2"/>
      <c r="C9" s="2" t="s">
        <v>60</v>
      </c>
      <c r="D9" s="2" t="s">
        <v>54</v>
      </c>
      <c r="E9" s="2" t="s">
        <v>57</v>
      </c>
      <c r="F9" s="12">
        <f>AVERAGE(F10:F19)</f>
        <v>4.1869999999999994</v>
      </c>
      <c r="G9" s="12">
        <f t="shared" ref="G9:Q9" si="0">AVERAGE(G10:G19)</f>
        <v>15658.695000000002</v>
      </c>
      <c r="H9" s="12">
        <f t="shared" si="0"/>
        <v>4.1669999999999998</v>
      </c>
      <c r="I9" s="12">
        <f t="shared" si="0"/>
        <v>15733.344000000001</v>
      </c>
      <c r="J9" s="12">
        <f t="shared" si="0"/>
        <v>3.8899999999999997</v>
      </c>
      <c r="K9" s="12">
        <f t="shared" si="0"/>
        <v>16840.360999999997</v>
      </c>
      <c r="L9" s="12">
        <f t="shared" si="0"/>
        <v>13.8</v>
      </c>
      <c r="M9" s="12">
        <f t="shared" si="0"/>
        <v>4754.0610000000006</v>
      </c>
      <c r="N9" s="12">
        <f t="shared" si="0"/>
        <v>3.7199999999999998</v>
      </c>
      <c r="O9" s="12">
        <f t="shared" si="0"/>
        <v>17620.267</v>
      </c>
      <c r="P9" s="12">
        <f t="shared" si="0"/>
        <v>5.7960000000000003</v>
      </c>
      <c r="Q9" s="12">
        <f t="shared" si="0"/>
        <v>11307.898999999998</v>
      </c>
      <c r="R9" s="5"/>
      <c r="S9" s="11">
        <f>AVERAGE(F10,H10,J10,L10,N10,P10)</f>
        <v>5.8683333333333332</v>
      </c>
      <c r="T9" s="11">
        <f>AVERAGE(F22,H22,J22,L22,N22,P22)</f>
        <v>5.7383333333333333</v>
      </c>
    </row>
    <row r="10" spans="2:20" x14ac:dyDescent="0.25">
      <c r="B10" s="2" t="s">
        <v>51</v>
      </c>
      <c r="C10" s="3" t="s">
        <v>52</v>
      </c>
      <c r="D10" s="3" t="s">
        <v>53</v>
      </c>
      <c r="E10" s="3">
        <v>65536</v>
      </c>
      <c r="F10" s="6">
        <v>4.26</v>
      </c>
      <c r="G10" s="6">
        <v>15378.99</v>
      </c>
      <c r="H10" s="6">
        <v>4.26</v>
      </c>
      <c r="I10" s="6">
        <v>15386.65</v>
      </c>
      <c r="J10" s="6">
        <v>3.9</v>
      </c>
      <c r="K10" s="6">
        <v>16804.060000000001</v>
      </c>
      <c r="L10" s="6">
        <v>13.24</v>
      </c>
      <c r="M10" s="6">
        <v>4950.83</v>
      </c>
      <c r="N10" s="6">
        <v>3.72</v>
      </c>
      <c r="O10" s="6">
        <v>17619.28</v>
      </c>
      <c r="P10" s="6">
        <v>5.83</v>
      </c>
      <c r="Q10" s="6">
        <v>11240.01</v>
      </c>
      <c r="R10" s="5"/>
      <c r="S10" s="11">
        <f t="shared" ref="S10:S18" si="1">AVERAGE(F11,H11,J11,L11,N11,P11)</f>
        <v>5.87</v>
      </c>
      <c r="T10" s="11">
        <f t="shared" ref="T10:T18" si="2">AVERAGE(F23,H23,J23,L23,N23,P23)</f>
        <v>5.6916666666666664</v>
      </c>
    </row>
    <row r="11" spans="2:20" x14ac:dyDescent="0.25">
      <c r="B11" s="2" t="s">
        <v>61</v>
      </c>
      <c r="C11" s="3" t="s">
        <v>52</v>
      </c>
      <c r="D11" s="3" t="s">
        <v>53</v>
      </c>
      <c r="E11" s="3">
        <v>65536</v>
      </c>
      <c r="F11" s="3">
        <v>4.26</v>
      </c>
      <c r="G11" s="3">
        <v>15385.17</v>
      </c>
      <c r="H11" s="3">
        <v>4.26</v>
      </c>
      <c r="I11" s="3">
        <v>15385.71</v>
      </c>
      <c r="J11" s="3">
        <v>3.89</v>
      </c>
      <c r="K11" s="3">
        <v>16831.11</v>
      </c>
      <c r="L11" s="3">
        <v>13.25</v>
      </c>
      <c r="M11" s="3">
        <v>4946.21</v>
      </c>
      <c r="N11" s="3">
        <v>3.72</v>
      </c>
      <c r="O11" s="3">
        <v>17623.21</v>
      </c>
      <c r="P11" s="3">
        <v>5.84</v>
      </c>
      <c r="Q11" s="3">
        <v>11213.6</v>
      </c>
      <c r="R11" s="5"/>
      <c r="S11" s="11">
        <f t="shared" si="1"/>
        <v>5.9383333333333335</v>
      </c>
      <c r="T11" s="11">
        <f t="shared" si="2"/>
        <v>5.6649999999999991</v>
      </c>
    </row>
    <row r="12" spans="2:20" x14ac:dyDescent="0.25">
      <c r="B12" s="2" t="s">
        <v>62</v>
      </c>
      <c r="C12" s="3" t="s">
        <v>52</v>
      </c>
      <c r="D12" s="3" t="s">
        <v>53</v>
      </c>
      <c r="E12" s="3">
        <v>65536</v>
      </c>
      <c r="F12" s="3">
        <v>4.07</v>
      </c>
      <c r="G12" s="3">
        <v>16100.51</v>
      </c>
      <c r="H12" s="3">
        <v>4.07</v>
      </c>
      <c r="I12" s="3">
        <v>16098.58</v>
      </c>
      <c r="J12" s="3">
        <v>3.9</v>
      </c>
      <c r="K12" s="3">
        <v>16824.55</v>
      </c>
      <c r="L12" s="3">
        <v>14.02</v>
      </c>
      <c r="M12" s="3">
        <v>4672.95</v>
      </c>
      <c r="N12" s="3">
        <v>3.72</v>
      </c>
      <c r="O12" s="3">
        <v>17627.330000000002</v>
      </c>
      <c r="P12" s="3">
        <v>5.85</v>
      </c>
      <c r="Q12" s="3">
        <v>11210.19</v>
      </c>
      <c r="R12" s="5"/>
      <c r="S12" s="11">
        <f t="shared" si="1"/>
        <v>5.8083333333333327</v>
      </c>
      <c r="T12" s="11">
        <f t="shared" si="2"/>
        <v>5.7233333333333327</v>
      </c>
    </row>
    <row r="13" spans="2:20" x14ac:dyDescent="0.25">
      <c r="B13" s="2" t="s">
        <v>63</v>
      </c>
      <c r="C13" s="3" t="s">
        <v>52</v>
      </c>
      <c r="D13" s="3" t="s">
        <v>53</v>
      </c>
      <c r="E13" s="3">
        <v>65536</v>
      </c>
      <c r="F13" s="3">
        <v>4.08</v>
      </c>
      <c r="G13" s="3">
        <v>16066.41</v>
      </c>
      <c r="H13" s="3">
        <v>4.08</v>
      </c>
      <c r="I13" s="3">
        <v>16067.59</v>
      </c>
      <c r="J13" s="3">
        <v>3.89</v>
      </c>
      <c r="K13" s="3">
        <v>16826.45</v>
      </c>
      <c r="L13" s="3">
        <v>13.24</v>
      </c>
      <c r="M13" s="3">
        <v>4949.0600000000004</v>
      </c>
      <c r="N13" s="3">
        <v>3.72</v>
      </c>
      <c r="O13" s="3">
        <v>17622.59</v>
      </c>
      <c r="P13" s="3">
        <v>5.84</v>
      </c>
      <c r="Q13" s="3">
        <v>11218.99</v>
      </c>
      <c r="R13" s="5"/>
      <c r="S13" s="11">
        <f t="shared" si="1"/>
        <v>5.8049999999999997</v>
      </c>
      <c r="T13" s="11">
        <f t="shared" si="2"/>
        <v>5.7350000000000003</v>
      </c>
    </row>
    <row r="14" spans="2:20" x14ac:dyDescent="0.25">
      <c r="B14" s="2" t="s">
        <v>64</v>
      </c>
      <c r="C14" s="3" t="s">
        <v>52</v>
      </c>
      <c r="D14" s="3" t="s">
        <v>53</v>
      </c>
      <c r="E14" s="3">
        <v>65536</v>
      </c>
      <c r="F14" s="3">
        <v>4.08</v>
      </c>
      <c r="G14" s="3">
        <v>16062.75</v>
      </c>
      <c r="H14" s="3">
        <v>4.08</v>
      </c>
      <c r="I14" s="3">
        <v>16062.71</v>
      </c>
      <c r="J14" s="3">
        <v>3.89</v>
      </c>
      <c r="K14" s="3">
        <v>16830.12</v>
      </c>
      <c r="L14" s="3">
        <v>13.24</v>
      </c>
      <c r="M14" s="3">
        <v>4948.87</v>
      </c>
      <c r="N14" s="3">
        <v>3.72</v>
      </c>
      <c r="O14" s="3">
        <v>17611.509999999998</v>
      </c>
      <c r="P14" s="3">
        <v>5.82</v>
      </c>
      <c r="Q14" s="3">
        <v>11254.41</v>
      </c>
      <c r="R14" s="5"/>
      <c r="S14" s="11">
        <f t="shared" si="1"/>
        <v>5.9816666666666665</v>
      </c>
      <c r="T14" s="11">
        <f t="shared" si="2"/>
        <v>5.7450000000000001</v>
      </c>
    </row>
    <row r="15" spans="2:20" x14ac:dyDescent="0.25">
      <c r="B15" s="2" t="s">
        <v>65</v>
      </c>
      <c r="C15" s="3" t="s">
        <v>52</v>
      </c>
      <c r="D15" s="3" t="s">
        <v>53</v>
      </c>
      <c r="E15" s="3">
        <v>65536</v>
      </c>
      <c r="F15" s="3">
        <v>4.26</v>
      </c>
      <c r="G15" s="3">
        <v>15401</v>
      </c>
      <c r="H15" s="3">
        <v>4.26</v>
      </c>
      <c r="I15" s="3">
        <v>15375.31</v>
      </c>
      <c r="J15" s="3">
        <v>3.89</v>
      </c>
      <c r="K15" s="3">
        <v>16827.349999999999</v>
      </c>
      <c r="L15" s="3">
        <v>14.27</v>
      </c>
      <c r="M15" s="3">
        <v>4591.6099999999997</v>
      </c>
      <c r="N15" s="3">
        <v>3.72</v>
      </c>
      <c r="O15" s="3">
        <v>17621.55</v>
      </c>
      <c r="P15" s="3">
        <v>5.49</v>
      </c>
      <c r="Q15" s="3">
        <v>11943.33</v>
      </c>
      <c r="R15" s="5"/>
      <c r="S15" s="11">
        <f t="shared" si="1"/>
        <v>6.0183333333333335</v>
      </c>
      <c r="T15" s="11">
        <f t="shared" si="2"/>
        <v>5.7316666666666665</v>
      </c>
    </row>
    <row r="16" spans="2:20" x14ac:dyDescent="0.25">
      <c r="B16" s="2" t="s">
        <v>66</v>
      </c>
      <c r="C16" s="3" t="s">
        <v>52</v>
      </c>
      <c r="D16" s="3" t="s">
        <v>53</v>
      </c>
      <c r="E16" s="3">
        <v>65536</v>
      </c>
      <c r="F16" s="3">
        <v>4.24</v>
      </c>
      <c r="G16" s="3">
        <v>15440.77</v>
      </c>
      <c r="H16" s="3">
        <v>4.24</v>
      </c>
      <c r="I16" s="3">
        <v>15439.61</v>
      </c>
      <c r="J16" s="3">
        <v>3.88</v>
      </c>
      <c r="K16" s="3">
        <v>16888.63</v>
      </c>
      <c r="L16" s="3">
        <v>14.21</v>
      </c>
      <c r="M16" s="3">
        <v>4613.28</v>
      </c>
      <c r="N16" s="3">
        <v>3.72</v>
      </c>
      <c r="O16" s="3">
        <v>17626.189999999999</v>
      </c>
      <c r="P16" s="3">
        <v>5.82</v>
      </c>
      <c r="Q16" s="3">
        <v>11254.68</v>
      </c>
      <c r="R16" s="5"/>
      <c r="S16" s="11">
        <f t="shared" si="1"/>
        <v>6.0066666666666668</v>
      </c>
      <c r="T16" s="11">
        <f t="shared" si="2"/>
        <v>5.7700000000000005</v>
      </c>
    </row>
    <row r="17" spans="2:20" x14ac:dyDescent="0.25">
      <c r="B17" s="2" t="s">
        <v>67</v>
      </c>
      <c r="C17" s="3" t="s">
        <v>52</v>
      </c>
      <c r="D17" s="3" t="s">
        <v>53</v>
      </c>
      <c r="E17" s="3">
        <v>65536</v>
      </c>
      <c r="F17" s="3">
        <v>4.3</v>
      </c>
      <c r="G17" s="3">
        <v>15231.55</v>
      </c>
      <c r="H17" s="3">
        <v>4.0999999999999996</v>
      </c>
      <c r="I17" s="3">
        <v>15991.18</v>
      </c>
      <c r="J17" s="3">
        <v>3.89</v>
      </c>
      <c r="K17" s="3">
        <v>16862.03</v>
      </c>
      <c r="L17" s="3">
        <v>14.23</v>
      </c>
      <c r="M17" s="3">
        <v>4604.1499999999996</v>
      </c>
      <c r="N17" s="3">
        <v>3.72</v>
      </c>
      <c r="O17" s="3">
        <v>17620.46</v>
      </c>
      <c r="P17" s="3">
        <v>5.8</v>
      </c>
      <c r="Q17" s="3">
        <v>11291.93</v>
      </c>
      <c r="R17" s="5"/>
      <c r="S17" s="11">
        <f t="shared" si="1"/>
        <v>5.94</v>
      </c>
      <c r="T17" s="11">
        <f t="shared" si="2"/>
        <v>5.7899999999999991</v>
      </c>
    </row>
    <row r="18" spans="2:20" x14ac:dyDescent="0.25">
      <c r="B18" s="2" t="s">
        <v>68</v>
      </c>
      <c r="C18" s="3" t="s">
        <v>52</v>
      </c>
      <c r="D18" s="3" t="s">
        <v>53</v>
      </c>
      <c r="E18" s="3">
        <v>65536</v>
      </c>
      <c r="F18" s="3">
        <v>4.07</v>
      </c>
      <c r="G18" s="3">
        <v>16084.48</v>
      </c>
      <c r="H18" s="3">
        <v>4.07</v>
      </c>
      <c r="I18" s="3">
        <v>16090.31</v>
      </c>
      <c r="J18" s="3">
        <v>3.89</v>
      </c>
      <c r="K18" s="3">
        <v>16829.509999999998</v>
      </c>
      <c r="L18" s="3">
        <v>14.04</v>
      </c>
      <c r="M18" s="3">
        <v>4667.87</v>
      </c>
      <c r="N18" s="3">
        <v>3.72</v>
      </c>
      <c r="O18" s="3">
        <v>17613.830000000002</v>
      </c>
      <c r="P18" s="3">
        <v>5.85</v>
      </c>
      <c r="Q18" s="3">
        <v>11197.62</v>
      </c>
      <c r="R18" s="5"/>
      <c r="S18" s="11">
        <f t="shared" si="1"/>
        <v>6.03</v>
      </c>
      <c r="T18" s="11">
        <f t="shared" si="2"/>
        <v>5.6683333333333339</v>
      </c>
    </row>
    <row r="19" spans="2:20" x14ac:dyDescent="0.25">
      <c r="B19" s="2" t="s">
        <v>69</v>
      </c>
      <c r="C19" s="3" t="s">
        <v>52</v>
      </c>
      <c r="D19" s="3" t="s">
        <v>53</v>
      </c>
      <c r="E19" s="3">
        <v>65536</v>
      </c>
      <c r="F19" s="3">
        <v>4.25</v>
      </c>
      <c r="G19" s="3">
        <v>15435.32</v>
      </c>
      <c r="H19" s="3">
        <v>4.25</v>
      </c>
      <c r="I19" s="3">
        <v>15435.79</v>
      </c>
      <c r="J19" s="3">
        <v>3.88</v>
      </c>
      <c r="K19" s="3">
        <v>16879.8</v>
      </c>
      <c r="L19" s="3">
        <v>14.26</v>
      </c>
      <c r="M19" s="3">
        <v>4595.78</v>
      </c>
      <c r="N19" s="3">
        <v>3.72</v>
      </c>
      <c r="O19" s="3">
        <v>17616.72</v>
      </c>
      <c r="P19" s="3">
        <v>5.82</v>
      </c>
      <c r="Q19" s="3">
        <v>11254.23</v>
      </c>
      <c r="R19" s="5"/>
      <c r="S19" s="27" t="s">
        <v>91</v>
      </c>
      <c r="T19" s="27"/>
    </row>
    <row r="20" spans="2:20" ht="15.75" thickBot="1" x14ac:dyDescent="0.3">
      <c r="F20" s="4" t="s">
        <v>96</v>
      </c>
      <c r="G20" s="4" t="s">
        <v>95</v>
      </c>
      <c r="H20" s="4" t="s">
        <v>96</v>
      </c>
      <c r="I20" s="4" t="s">
        <v>95</v>
      </c>
      <c r="J20" s="4" t="s">
        <v>96</v>
      </c>
      <c r="K20" s="4" t="s">
        <v>95</v>
      </c>
      <c r="L20" s="4" t="s">
        <v>96</v>
      </c>
      <c r="M20" s="4" t="s">
        <v>95</v>
      </c>
      <c r="N20" s="4" t="s">
        <v>96</v>
      </c>
      <c r="O20" s="4" t="s">
        <v>95</v>
      </c>
      <c r="P20" s="4" t="s">
        <v>96</v>
      </c>
      <c r="Q20" s="4" t="s">
        <v>95</v>
      </c>
      <c r="R20" s="5"/>
      <c r="S20" s="2" t="s">
        <v>82</v>
      </c>
      <c r="T20" s="2" t="s">
        <v>81</v>
      </c>
    </row>
    <row r="21" spans="2:20" ht="15.75" thickBot="1" x14ac:dyDescent="0.3">
      <c r="B21" s="2"/>
      <c r="C21" s="2" t="s">
        <v>60</v>
      </c>
      <c r="D21" s="2" t="s">
        <v>54</v>
      </c>
      <c r="E21" s="2" t="s">
        <v>57</v>
      </c>
      <c r="F21" s="12">
        <f>AVERAGE(F22:F31)</f>
        <v>3.8959999999999999</v>
      </c>
      <c r="G21" s="12">
        <f t="shared" ref="G21:Q21" si="3">AVERAGE(G22:G31)</f>
        <v>16836.2</v>
      </c>
      <c r="H21" s="12">
        <f t="shared" si="3"/>
        <v>3.8929999999999998</v>
      </c>
      <c r="I21" s="12">
        <f t="shared" si="3"/>
        <v>16838.909</v>
      </c>
      <c r="J21" s="12">
        <f t="shared" si="3"/>
        <v>3.5980000000000003</v>
      </c>
      <c r="K21" s="12">
        <f t="shared" si="3"/>
        <v>18220.326999999997</v>
      </c>
      <c r="L21" s="12">
        <f t="shared" si="3"/>
        <v>13.786000000000001</v>
      </c>
      <c r="M21" s="12">
        <f t="shared" si="3"/>
        <v>4757.6369999999997</v>
      </c>
      <c r="N21" s="12">
        <f t="shared" si="3"/>
        <v>3.4300000000000006</v>
      </c>
      <c r="O21" s="12">
        <f t="shared" si="3"/>
        <v>19108.084999999999</v>
      </c>
      <c r="P21" s="12">
        <f t="shared" si="3"/>
        <v>5.7519999999999998</v>
      </c>
      <c r="Q21" s="12">
        <f t="shared" si="3"/>
        <v>11402.509</v>
      </c>
      <c r="R21" s="5"/>
      <c r="S21" s="14">
        <f>AVERAGE(S22:S31)</f>
        <v>13652.437833333333</v>
      </c>
      <c r="T21" s="14">
        <f>AVERAGE(T22:T31)</f>
        <v>14527.277833333332</v>
      </c>
    </row>
    <row r="22" spans="2:20" x14ac:dyDescent="0.25">
      <c r="B22" s="2" t="s">
        <v>51</v>
      </c>
      <c r="C22" s="3" t="s">
        <v>52</v>
      </c>
      <c r="D22" s="3" t="s">
        <v>53</v>
      </c>
      <c r="E22" s="3">
        <v>65536</v>
      </c>
      <c r="F22" s="6">
        <v>3.79</v>
      </c>
      <c r="G22" s="6">
        <v>17296.79</v>
      </c>
      <c r="H22" s="6">
        <v>3.79</v>
      </c>
      <c r="I22" s="6">
        <v>17291.54</v>
      </c>
      <c r="J22" s="6">
        <v>3.6</v>
      </c>
      <c r="K22" s="6">
        <v>18226.8</v>
      </c>
      <c r="L22" s="6">
        <v>14.02</v>
      </c>
      <c r="M22" s="6">
        <v>4674.22</v>
      </c>
      <c r="N22" s="6">
        <v>3.43</v>
      </c>
      <c r="O22" s="6">
        <v>19102.39</v>
      </c>
      <c r="P22" s="6">
        <v>5.8</v>
      </c>
      <c r="Q22" s="6">
        <v>11295.68</v>
      </c>
      <c r="R22" s="5"/>
      <c r="S22" s="11">
        <f>AVERAGE(G10,I10,K10,M10,O10,Q10)</f>
        <v>13563.303333333331</v>
      </c>
      <c r="T22" s="11">
        <f>AVERAGE(G22,I22,K22,M22,O22,Q22)</f>
        <v>14647.903333333335</v>
      </c>
    </row>
    <row r="23" spans="2:20" x14ac:dyDescent="0.25">
      <c r="B23" s="2" t="s">
        <v>61</v>
      </c>
      <c r="C23" s="3" t="s">
        <v>52</v>
      </c>
      <c r="D23" s="3" t="s">
        <v>53</v>
      </c>
      <c r="E23" s="3">
        <v>65536</v>
      </c>
      <c r="F23" s="3">
        <v>3.97</v>
      </c>
      <c r="G23" s="3">
        <v>16518.79</v>
      </c>
      <c r="H23" s="3">
        <v>3.95</v>
      </c>
      <c r="I23" s="3">
        <v>16593.78</v>
      </c>
      <c r="J23" s="3">
        <v>3.59</v>
      </c>
      <c r="K23" s="3">
        <v>18248.88</v>
      </c>
      <c r="L23" s="3">
        <v>13.53</v>
      </c>
      <c r="M23" s="3">
        <v>4842.87</v>
      </c>
      <c r="N23" s="3">
        <v>3.43</v>
      </c>
      <c r="O23" s="3">
        <v>19119.88</v>
      </c>
      <c r="P23" s="3">
        <v>5.68</v>
      </c>
      <c r="Q23" s="3">
        <v>11546.3</v>
      </c>
      <c r="R23" s="5"/>
      <c r="S23" s="11">
        <f t="shared" ref="S23:S31" si="4">AVERAGE(G11,I11,K11,M11,O11,Q11)</f>
        <v>13564.168333333335</v>
      </c>
      <c r="T23" s="11">
        <f t="shared" ref="T23:T31" si="5">AVERAGE(G23,I23,K23,M23,O23,Q23)</f>
        <v>14478.416666666666</v>
      </c>
    </row>
    <row r="24" spans="2:20" x14ac:dyDescent="0.25">
      <c r="B24" s="2" t="s">
        <v>62</v>
      </c>
      <c r="C24" s="3" t="s">
        <v>52</v>
      </c>
      <c r="D24" s="3" t="s">
        <v>53</v>
      </c>
      <c r="E24" s="3">
        <v>65536</v>
      </c>
      <c r="F24" s="3">
        <v>3.97</v>
      </c>
      <c r="G24" s="3">
        <v>16516.54</v>
      </c>
      <c r="H24" s="3">
        <v>3.97</v>
      </c>
      <c r="I24" s="3">
        <v>16508.22</v>
      </c>
      <c r="J24" s="3">
        <v>3.6</v>
      </c>
      <c r="K24" s="3">
        <v>18213.580000000002</v>
      </c>
      <c r="L24" s="3">
        <v>13.18</v>
      </c>
      <c r="M24" s="3">
        <v>4972.79</v>
      </c>
      <c r="N24" s="3">
        <v>3.43</v>
      </c>
      <c r="O24" s="3">
        <v>19108.68</v>
      </c>
      <c r="P24" s="3">
        <v>5.84</v>
      </c>
      <c r="Q24" s="3">
        <v>11219.63</v>
      </c>
      <c r="R24" s="5"/>
      <c r="S24" s="11">
        <f t="shared" si="4"/>
        <v>13755.684999999999</v>
      </c>
      <c r="T24" s="11">
        <f t="shared" si="5"/>
        <v>14423.24</v>
      </c>
    </row>
    <row r="25" spans="2:20" x14ac:dyDescent="0.25">
      <c r="B25" s="2" t="s">
        <v>63</v>
      </c>
      <c r="C25" s="3" t="s">
        <v>52</v>
      </c>
      <c r="D25" s="3" t="s">
        <v>53</v>
      </c>
      <c r="E25" s="3">
        <v>65536</v>
      </c>
      <c r="F25" s="3">
        <v>3.8</v>
      </c>
      <c r="G25" s="3">
        <v>17253.53</v>
      </c>
      <c r="H25" s="3">
        <v>3.8</v>
      </c>
      <c r="I25" s="3">
        <v>17260.89</v>
      </c>
      <c r="J25" s="3">
        <v>3.6</v>
      </c>
      <c r="K25" s="3">
        <v>18211.150000000001</v>
      </c>
      <c r="L25" s="3">
        <v>14.25</v>
      </c>
      <c r="M25" s="3">
        <v>4600.3999999999996</v>
      </c>
      <c r="N25" s="3">
        <v>3.43</v>
      </c>
      <c r="O25" s="3">
        <v>19101.77</v>
      </c>
      <c r="P25" s="3">
        <v>5.46</v>
      </c>
      <c r="Q25" s="3">
        <v>12006.88</v>
      </c>
      <c r="R25" s="5"/>
      <c r="S25" s="11">
        <f t="shared" si="4"/>
        <v>13791.848333333333</v>
      </c>
      <c r="T25" s="11">
        <f t="shared" si="5"/>
        <v>14739.103333333334</v>
      </c>
    </row>
    <row r="26" spans="2:20" x14ac:dyDescent="0.25">
      <c r="B26" s="2" t="s">
        <v>64</v>
      </c>
      <c r="C26" s="3" t="s">
        <v>52</v>
      </c>
      <c r="D26" s="3" t="s">
        <v>53</v>
      </c>
      <c r="E26" s="3">
        <v>65536</v>
      </c>
      <c r="F26" s="3">
        <v>3.96</v>
      </c>
      <c r="G26" s="3">
        <v>16568.82</v>
      </c>
      <c r="H26" s="3">
        <v>3.95</v>
      </c>
      <c r="I26" s="3">
        <v>16571.5</v>
      </c>
      <c r="J26" s="3">
        <v>3.59</v>
      </c>
      <c r="K26" s="3">
        <v>18247.71</v>
      </c>
      <c r="L26" s="3">
        <v>13.81</v>
      </c>
      <c r="M26" s="3">
        <v>4747.1499999999996</v>
      </c>
      <c r="N26" s="3">
        <v>3.43</v>
      </c>
      <c r="O26" s="3">
        <v>19105.169999999998</v>
      </c>
      <c r="P26" s="3">
        <v>5.67</v>
      </c>
      <c r="Q26" s="3">
        <v>11555.52</v>
      </c>
      <c r="R26" s="5"/>
      <c r="S26" s="11">
        <f t="shared" si="4"/>
        <v>13795.061666666668</v>
      </c>
      <c r="T26" s="11">
        <f t="shared" si="5"/>
        <v>14465.978333333334</v>
      </c>
    </row>
    <row r="27" spans="2:20" x14ac:dyDescent="0.25">
      <c r="B27" s="2" t="s">
        <v>65</v>
      </c>
      <c r="C27" s="3" t="s">
        <v>52</v>
      </c>
      <c r="D27" s="3" t="s">
        <v>53</v>
      </c>
      <c r="E27" s="3">
        <v>65536</v>
      </c>
      <c r="F27" s="3">
        <v>3.98</v>
      </c>
      <c r="G27" s="3">
        <v>16459.009999999998</v>
      </c>
      <c r="H27" s="3">
        <v>3.98</v>
      </c>
      <c r="I27" s="3">
        <v>16449.55</v>
      </c>
      <c r="J27" s="3">
        <v>3.6</v>
      </c>
      <c r="K27" s="3">
        <v>18200.48</v>
      </c>
      <c r="L27" s="3">
        <v>13.67</v>
      </c>
      <c r="M27" s="3">
        <v>4795.53</v>
      </c>
      <c r="N27" s="3">
        <v>3.43</v>
      </c>
      <c r="O27" s="3">
        <v>19113.14</v>
      </c>
      <c r="P27" s="3">
        <v>5.81</v>
      </c>
      <c r="Q27" s="3">
        <v>11286.19</v>
      </c>
      <c r="R27" s="5"/>
      <c r="S27" s="11">
        <f t="shared" si="4"/>
        <v>13626.691666666666</v>
      </c>
      <c r="T27" s="11">
        <f t="shared" si="5"/>
        <v>14383.983333333332</v>
      </c>
    </row>
    <row r="28" spans="2:20" x14ac:dyDescent="0.25">
      <c r="B28" s="2" t="s">
        <v>66</v>
      </c>
      <c r="C28" s="3" t="s">
        <v>52</v>
      </c>
      <c r="D28" s="3" t="s">
        <v>53</v>
      </c>
      <c r="E28" s="3">
        <v>65536</v>
      </c>
      <c r="F28" s="3">
        <v>3.79</v>
      </c>
      <c r="G28" s="3">
        <v>17307.89</v>
      </c>
      <c r="H28" s="3">
        <v>3.79</v>
      </c>
      <c r="I28" s="3">
        <v>17296.47</v>
      </c>
      <c r="J28" s="3">
        <v>3.6</v>
      </c>
      <c r="K28" s="3">
        <v>18212.16</v>
      </c>
      <c r="L28" s="3">
        <v>13.98</v>
      </c>
      <c r="M28" s="3">
        <v>4686.91</v>
      </c>
      <c r="N28" s="3">
        <v>3.43</v>
      </c>
      <c r="O28" s="3">
        <v>19108.009999999998</v>
      </c>
      <c r="P28" s="3">
        <v>5.8</v>
      </c>
      <c r="Q28" s="3">
        <v>11296.64</v>
      </c>
      <c r="R28" s="13"/>
      <c r="S28" s="11">
        <f t="shared" si="4"/>
        <v>13543.86</v>
      </c>
      <c r="T28" s="11">
        <f t="shared" si="5"/>
        <v>14651.346666666666</v>
      </c>
    </row>
    <row r="29" spans="2:20" x14ac:dyDescent="0.25">
      <c r="B29" s="2" t="s">
        <v>67</v>
      </c>
      <c r="C29" s="3" t="s">
        <v>52</v>
      </c>
      <c r="D29" s="3" t="s">
        <v>53</v>
      </c>
      <c r="E29" s="3">
        <v>65536</v>
      </c>
      <c r="F29" s="3">
        <v>3.77</v>
      </c>
      <c r="G29" s="3">
        <v>17388.43</v>
      </c>
      <c r="H29" s="3">
        <v>3.77</v>
      </c>
      <c r="I29" s="3">
        <v>17381.28</v>
      </c>
      <c r="J29" s="3">
        <v>3.6</v>
      </c>
      <c r="K29" s="3">
        <v>18227.36</v>
      </c>
      <c r="L29" s="3">
        <v>14.23</v>
      </c>
      <c r="M29" s="3">
        <v>4604.5600000000004</v>
      </c>
      <c r="N29" s="3">
        <v>3.43</v>
      </c>
      <c r="O29" s="3">
        <v>19103.05</v>
      </c>
      <c r="P29" s="3">
        <v>5.82</v>
      </c>
      <c r="Q29" s="3">
        <v>11262.41</v>
      </c>
      <c r="R29" s="5"/>
      <c r="S29" s="11">
        <f t="shared" si="4"/>
        <v>13600.216666666665</v>
      </c>
      <c r="T29" s="11">
        <f t="shared" si="5"/>
        <v>14661.181666666665</v>
      </c>
    </row>
    <row r="30" spans="2:20" x14ac:dyDescent="0.25">
      <c r="B30" s="2" t="s">
        <v>68</v>
      </c>
      <c r="C30" s="3" t="s">
        <v>52</v>
      </c>
      <c r="D30" s="3" t="s">
        <v>53</v>
      </c>
      <c r="E30" s="3">
        <v>65536</v>
      </c>
      <c r="F30" s="3">
        <v>3.95</v>
      </c>
      <c r="G30" s="3">
        <v>16592.73</v>
      </c>
      <c r="H30" s="3">
        <v>3.95</v>
      </c>
      <c r="I30" s="3">
        <v>16583.54</v>
      </c>
      <c r="J30" s="3">
        <v>3.6</v>
      </c>
      <c r="K30" s="3">
        <v>18223.96</v>
      </c>
      <c r="L30" s="3">
        <v>14.01</v>
      </c>
      <c r="M30" s="3">
        <v>4679.1099999999997</v>
      </c>
      <c r="N30" s="3">
        <v>3.43</v>
      </c>
      <c r="O30" s="3">
        <v>19103.78</v>
      </c>
      <c r="P30" s="3">
        <v>5.8</v>
      </c>
      <c r="Q30" s="3">
        <v>11290.62</v>
      </c>
      <c r="R30" s="5"/>
      <c r="S30" s="11">
        <f t="shared" si="4"/>
        <v>13747.269999999999</v>
      </c>
      <c r="T30" s="11">
        <f t="shared" si="5"/>
        <v>14412.289999999999</v>
      </c>
    </row>
    <row r="31" spans="2:20" x14ac:dyDescent="0.25">
      <c r="B31" s="2" t="s">
        <v>69</v>
      </c>
      <c r="C31" s="3" t="s">
        <v>52</v>
      </c>
      <c r="D31" s="3" t="s">
        <v>53</v>
      </c>
      <c r="E31" s="3">
        <v>65536</v>
      </c>
      <c r="F31" s="3">
        <v>3.98</v>
      </c>
      <c r="G31" s="3">
        <v>16459.47</v>
      </c>
      <c r="H31" s="3">
        <v>3.98</v>
      </c>
      <c r="I31" s="3">
        <v>16452.32</v>
      </c>
      <c r="J31" s="3">
        <v>3.6</v>
      </c>
      <c r="K31" s="3">
        <v>18191.189999999999</v>
      </c>
      <c r="L31" s="3">
        <v>13.18</v>
      </c>
      <c r="M31" s="3">
        <v>4972.83</v>
      </c>
      <c r="N31" s="3">
        <v>3.43</v>
      </c>
      <c r="O31" s="3">
        <v>19114.98</v>
      </c>
      <c r="P31" s="3">
        <v>5.84</v>
      </c>
      <c r="Q31" s="3">
        <v>11265.22</v>
      </c>
      <c r="R31" s="5"/>
      <c r="S31" s="11">
        <f t="shared" si="4"/>
        <v>13536.273333333333</v>
      </c>
      <c r="T31" s="11">
        <f t="shared" si="5"/>
        <v>14409.334999999999</v>
      </c>
    </row>
  </sheetData>
  <mergeCells count="9">
    <mergeCell ref="P7:Q7"/>
    <mergeCell ref="F5:K6"/>
    <mergeCell ref="S6:T6"/>
    <mergeCell ref="S19:T19"/>
    <mergeCell ref="F7:G7"/>
    <mergeCell ref="H7:I7"/>
    <mergeCell ref="J7:K7"/>
    <mergeCell ref="L7:M7"/>
    <mergeCell ref="N7:O7"/>
  </mergeCells>
  <conditionalFormatting sqref="F9:Q9">
    <cfRule type="top10" dxfId="11" priority="3" bottom="1" rank="1"/>
    <cfRule type="top10" dxfId="10" priority="4" rank="1"/>
  </conditionalFormatting>
  <conditionalFormatting sqref="F21:Q21">
    <cfRule type="top10" dxfId="9" priority="1" bottom="1" rank="1"/>
    <cfRule type="top10" dxfId="8" priority="2" rank="1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5462B-C3A1-4E8B-8077-D30A8DE2057F}">
  <dimension ref="B1:J28"/>
  <sheetViews>
    <sheetView tabSelected="1" zoomScale="70" zoomScaleNormal="70" workbookViewId="0">
      <selection activeCell="J25" sqref="J25"/>
    </sheetView>
  </sheetViews>
  <sheetFormatPr defaultRowHeight="15" x14ac:dyDescent="0.25"/>
  <cols>
    <col min="6" max="6" width="10.5703125" customWidth="1"/>
    <col min="8" max="8" width="2.42578125" customWidth="1"/>
    <col min="9" max="9" width="13.42578125" customWidth="1"/>
    <col min="10" max="10" width="14.140625" customWidth="1"/>
  </cols>
  <sheetData>
    <row r="1" spans="2:10" x14ac:dyDescent="0.25">
      <c r="E1" s="15" t="s">
        <v>102</v>
      </c>
      <c r="F1" s="16"/>
      <c r="G1" s="16"/>
      <c r="H1" s="16"/>
      <c r="I1" s="16"/>
      <c r="J1" s="17"/>
    </row>
    <row r="2" spans="2:10" ht="15.75" thickBot="1" x14ac:dyDescent="0.3">
      <c r="E2" s="18"/>
      <c r="F2" s="19"/>
      <c r="G2" s="19"/>
      <c r="H2" s="19"/>
      <c r="I2" s="19"/>
      <c r="J2" s="20"/>
    </row>
    <row r="3" spans="2:10" x14ac:dyDescent="0.25">
      <c r="B3" s="2"/>
      <c r="C3" s="2"/>
      <c r="D3" s="2"/>
    </row>
    <row r="4" spans="2:10" ht="15.75" thickBot="1" x14ac:dyDescent="0.3">
      <c r="B4" s="2"/>
      <c r="C4" s="2" t="s">
        <v>60</v>
      </c>
      <c r="D4" s="2" t="s">
        <v>54</v>
      </c>
      <c r="E4" s="2" t="s">
        <v>103</v>
      </c>
      <c r="F4" s="2" t="s">
        <v>104</v>
      </c>
      <c r="G4" s="2" t="s">
        <v>105</v>
      </c>
      <c r="H4" s="5"/>
      <c r="I4" s="4" t="s">
        <v>81</v>
      </c>
      <c r="J4" s="4" t="s">
        <v>82</v>
      </c>
    </row>
    <row r="5" spans="2:10" ht="15.75" thickBot="1" x14ac:dyDescent="0.3">
      <c r="B5" s="2" t="s">
        <v>51</v>
      </c>
      <c r="C5" s="3" t="s">
        <v>53</v>
      </c>
      <c r="D5" s="3" t="s">
        <v>52</v>
      </c>
      <c r="E5" s="3">
        <v>1000</v>
      </c>
      <c r="F5" s="3">
        <v>4.944</v>
      </c>
      <c r="G5" s="3">
        <v>9.8879999999999999</v>
      </c>
      <c r="H5" s="5"/>
      <c r="I5" s="7">
        <f>AVERAGE(F5:F14)</f>
        <v>4.9172999999999991</v>
      </c>
      <c r="J5" s="7">
        <f>AVERAGE(F16:F25)</f>
        <v>4.920799999999999</v>
      </c>
    </row>
    <row r="6" spans="2:10" x14ac:dyDescent="0.25">
      <c r="B6" s="2" t="s">
        <v>61</v>
      </c>
      <c r="C6" s="3" t="s">
        <v>53</v>
      </c>
      <c r="D6" s="3" t="s">
        <v>52</v>
      </c>
      <c r="E6" s="3">
        <v>1000</v>
      </c>
      <c r="F6" s="3">
        <v>4.8719999999999999</v>
      </c>
      <c r="G6" s="3">
        <v>9.7430000000000003</v>
      </c>
      <c r="H6" s="5"/>
    </row>
    <row r="7" spans="2:10" ht="15.75" thickBot="1" x14ac:dyDescent="0.3">
      <c r="B7" s="2" t="s">
        <v>62</v>
      </c>
      <c r="C7" s="3" t="s">
        <v>53</v>
      </c>
      <c r="D7" s="3" t="s">
        <v>52</v>
      </c>
      <c r="E7" s="3">
        <v>1000</v>
      </c>
      <c r="F7" s="3">
        <v>4.952</v>
      </c>
      <c r="G7" s="3">
        <v>9.9049999999999994</v>
      </c>
      <c r="H7" s="5"/>
      <c r="I7" s="4" t="s">
        <v>81</v>
      </c>
      <c r="J7" s="4" t="s">
        <v>82</v>
      </c>
    </row>
    <row r="8" spans="2:10" ht="15.75" thickBot="1" x14ac:dyDescent="0.3">
      <c r="B8" s="2" t="s">
        <v>63</v>
      </c>
      <c r="C8" s="3" t="s">
        <v>53</v>
      </c>
      <c r="D8" s="3" t="s">
        <v>52</v>
      </c>
      <c r="E8" s="3">
        <v>1000</v>
      </c>
      <c r="F8" s="3">
        <v>4.859</v>
      </c>
      <c r="G8" s="3">
        <v>9.718</v>
      </c>
      <c r="H8" s="5"/>
      <c r="I8" s="7">
        <f>AVERAGE(G5:G14)</f>
        <v>9.8345000000000002</v>
      </c>
      <c r="J8" s="7">
        <f>AVERAGE(G16:G25)</f>
        <v>9.8613999999999997</v>
      </c>
    </row>
    <row r="9" spans="2:10" x14ac:dyDescent="0.25">
      <c r="B9" s="2" t="s">
        <v>64</v>
      </c>
      <c r="C9" s="3" t="s">
        <v>53</v>
      </c>
      <c r="D9" s="3" t="s">
        <v>52</v>
      </c>
      <c r="E9" s="3">
        <v>1000</v>
      </c>
      <c r="F9" s="3">
        <v>4.9710000000000001</v>
      </c>
      <c r="G9" s="3">
        <v>9.9429999999999996</v>
      </c>
      <c r="H9" s="5"/>
    </row>
    <row r="10" spans="2:10" x14ac:dyDescent="0.25">
      <c r="B10" s="2" t="s">
        <v>65</v>
      </c>
      <c r="C10" s="3" t="s">
        <v>53</v>
      </c>
      <c r="D10" s="3" t="s">
        <v>52</v>
      </c>
      <c r="E10" s="3">
        <v>1000</v>
      </c>
      <c r="F10" s="3">
        <v>4.891</v>
      </c>
      <c r="G10" s="3">
        <v>9.7810000000000006</v>
      </c>
      <c r="H10" s="5"/>
    </row>
    <row r="11" spans="2:10" x14ac:dyDescent="0.25">
      <c r="B11" s="2" t="s">
        <v>66</v>
      </c>
      <c r="C11" s="3" t="s">
        <v>53</v>
      </c>
      <c r="D11" s="3" t="s">
        <v>52</v>
      </c>
      <c r="E11" s="3">
        <v>1000</v>
      </c>
      <c r="F11" s="3">
        <v>4.8319999999999999</v>
      </c>
      <c r="G11" s="3">
        <v>9.6630000000000003</v>
      </c>
      <c r="H11" s="5"/>
    </row>
    <row r="12" spans="2:10" x14ac:dyDescent="0.25">
      <c r="B12" s="2" t="s">
        <v>67</v>
      </c>
      <c r="C12" s="3" t="s">
        <v>53</v>
      </c>
      <c r="D12" s="3" t="s">
        <v>52</v>
      </c>
      <c r="E12" s="3">
        <v>1000</v>
      </c>
      <c r="F12" s="3">
        <v>5.0010000000000003</v>
      </c>
      <c r="G12" s="3">
        <v>10.002000000000001</v>
      </c>
      <c r="H12" s="5"/>
    </row>
    <row r="13" spans="2:10" x14ac:dyDescent="0.25">
      <c r="B13" s="2" t="s">
        <v>68</v>
      </c>
      <c r="C13" s="3" t="s">
        <v>53</v>
      </c>
      <c r="D13" s="3" t="s">
        <v>52</v>
      </c>
      <c r="E13" s="3">
        <v>1000</v>
      </c>
      <c r="F13" s="3">
        <v>4.8689999999999998</v>
      </c>
      <c r="G13" s="3">
        <v>9.7370000000000001</v>
      </c>
      <c r="H13" s="5"/>
    </row>
    <row r="14" spans="2:10" x14ac:dyDescent="0.25">
      <c r="B14" s="2" t="s">
        <v>69</v>
      </c>
      <c r="C14" s="3" t="s">
        <v>53</v>
      </c>
      <c r="D14" s="3" t="s">
        <v>52</v>
      </c>
      <c r="E14" s="3">
        <v>1000</v>
      </c>
      <c r="F14" s="3">
        <v>4.9820000000000002</v>
      </c>
      <c r="G14" s="3">
        <v>9.9649999999999999</v>
      </c>
      <c r="H14" s="5"/>
    </row>
    <row r="15" spans="2:10" x14ac:dyDescent="0.25">
      <c r="C15" s="4"/>
      <c r="D15" s="4"/>
      <c r="H15" s="5"/>
    </row>
    <row r="16" spans="2:10" x14ac:dyDescent="0.25">
      <c r="B16" s="2" t="s">
        <v>70</v>
      </c>
      <c r="C16" s="3" t="s">
        <v>52</v>
      </c>
      <c r="D16" s="3" t="s">
        <v>53</v>
      </c>
      <c r="E16" s="3">
        <v>1000</v>
      </c>
      <c r="F16" s="3">
        <v>4.92</v>
      </c>
      <c r="G16" s="3">
        <v>9.8409999999999993</v>
      </c>
      <c r="H16" s="5"/>
    </row>
    <row r="17" spans="2:8" x14ac:dyDescent="0.25">
      <c r="B17" s="2" t="s">
        <v>71</v>
      </c>
      <c r="C17" s="3" t="s">
        <v>52</v>
      </c>
      <c r="D17" s="3" t="s">
        <v>53</v>
      </c>
      <c r="E17" s="3">
        <v>1000</v>
      </c>
      <c r="F17" s="3">
        <v>4.8899999999999997</v>
      </c>
      <c r="G17" s="3">
        <v>9.9779999999999998</v>
      </c>
      <c r="H17" s="5"/>
    </row>
    <row r="18" spans="2:8" x14ac:dyDescent="0.25">
      <c r="B18" s="2" t="s">
        <v>72</v>
      </c>
      <c r="C18" s="3" t="s">
        <v>52</v>
      </c>
      <c r="D18" s="3" t="s">
        <v>53</v>
      </c>
      <c r="E18" s="3">
        <v>1000</v>
      </c>
      <c r="F18" s="3">
        <v>4.891</v>
      </c>
      <c r="G18" s="3">
        <v>9.7829999999999995</v>
      </c>
      <c r="H18" s="5"/>
    </row>
    <row r="19" spans="2:8" x14ac:dyDescent="0.25">
      <c r="B19" s="2" t="s">
        <v>73</v>
      </c>
      <c r="C19" s="3" t="s">
        <v>52</v>
      </c>
      <c r="D19" s="3" t="s">
        <v>53</v>
      </c>
      <c r="E19" s="3">
        <v>1000</v>
      </c>
      <c r="F19" s="3">
        <v>4.9340000000000002</v>
      </c>
      <c r="G19" s="3">
        <v>9.8680000000000003</v>
      </c>
      <c r="H19" s="5"/>
    </row>
    <row r="20" spans="2:8" x14ac:dyDescent="0.25">
      <c r="B20" s="2" t="s">
        <v>74</v>
      </c>
      <c r="C20" s="3" t="s">
        <v>52</v>
      </c>
      <c r="D20" s="3" t="s">
        <v>53</v>
      </c>
      <c r="E20" s="3">
        <v>1000</v>
      </c>
      <c r="F20" s="3">
        <v>4.9710000000000001</v>
      </c>
      <c r="G20" s="3">
        <v>9.9429999999999996</v>
      </c>
      <c r="H20" s="5"/>
    </row>
    <row r="21" spans="2:8" x14ac:dyDescent="0.25">
      <c r="B21" s="2" t="s">
        <v>75</v>
      </c>
      <c r="C21" s="3" t="s">
        <v>52</v>
      </c>
      <c r="D21" s="3" t="s">
        <v>53</v>
      </c>
      <c r="E21" s="3">
        <v>1000</v>
      </c>
      <c r="F21" s="3">
        <v>4.8929999999999998</v>
      </c>
      <c r="G21" s="3">
        <v>9.7850000000000001</v>
      </c>
      <c r="H21" s="5"/>
    </row>
    <row r="22" spans="2:8" x14ac:dyDescent="0.25">
      <c r="B22" s="2" t="s">
        <v>76</v>
      </c>
      <c r="C22" s="3" t="s">
        <v>52</v>
      </c>
      <c r="D22" s="3" t="s">
        <v>53</v>
      </c>
      <c r="E22" s="3">
        <v>1000</v>
      </c>
      <c r="F22" s="3">
        <v>4.9969999999999999</v>
      </c>
      <c r="G22" s="3">
        <v>9.9939999999999998</v>
      </c>
      <c r="H22" s="5"/>
    </row>
    <row r="23" spans="2:8" x14ac:dyDescent="0.25">
      <c r="B23" s="2" t="s">
        <v>77</v>
      </c>
      <c r="C23" s="3" t="s">
        <v>52</v>
      </c>
      <c r="D23" s="3" t="s">
        <v>53</v>
      </c>
      <c r="E23" s="3">
        <v>1000</v>
      </c>
      <c r="F23" s="3">
        <v>4.8730000000000002</v>
      </c>
      <c r="G23" s="3">
        <v>9.7460000000000004</v>
      </c>
      <c r="H23" s="5"/>
    </row>
    <row r="24" spans="2:8" x14ac:dyDescent="0.25">
      <c r="B24" s="2" t="s">
        <v>78</v>
      </c>
      <c r="C24" s="3" t="s">
        <v>52</v>
      </c>
      <c r="D24" s="3" t="s">
        <v>53</v>
      </c>
      <c r="E24" s="3">
        <v>1000</v>
      </c>
      <c r="F24" s="3">
        <v>4.9539999999999997</v>
      </c>
      <c r="G24" s="3">
        <v>9.907</v>
      </c>
      <c r="H24" s="5"/>
    </row>
    <row r="25" spans="2:8" x14ac:dyDescent="0.25">
      <c r="B25" s="2" t="s">
        <v>79</v>
      </c>
      <c r="C25" s="3" t="s">
        <v>52</v>
      </c>
      <c r="D25" s="3" t="s">
        <v>53</v>
      </c>
      <c r="E25" s="3">
        <v>1000</v>
      </c>
      <c r="F25" s="3">
        <v>4.8849999999999998</v>
      </c>
      <c r="G25" s="3">
        <v>9.7690000000000001</v>
      </c>
      <c r="H25" s="5"/>
    </row>
    <row r="26" spans="2:8" x14ac:dyDescent="0.25">
      <c r="H26" s="5"/>
    </row>
    <row r="27" spans="2:8" x14ac:dyDescent="0.25">
      <c r="H27" s="5"/>
    </row>
    <row r="28" spans="2:8" x14ac:dyDescent="0.25">
      <c r="H28" s="5"/>
    </row>
  </sheetData>
  <mergeCells count="1">
    <mergeCell ref="E1:J2"/>
  </mergeCells>
  <conditionalFormatting sqref="I5:J5">
    <cfRule type="top10" dxfId="7" priority="3" bottom="1" rank="1"/>
  </conditionalFormatting>
  <conditionalFormatting sqref="I8:J8">
    <cfRule type="top10" dxfId="6" priority="2" rank="1"/>
  </conditionalFormatting>
  <conditionalFormatting sqref="F5:F25">
    <cfRule type="top10" dxfId="0" priority="1" rank="1"/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E1D73364BD0F458523F0E6CC988A51" ma:contentTypeVersion="1" ma:contentTypeDescription="Create a new document." ma:contentTypeScope="" ma:versionID="694a0f891179dbbe7e496309d0c9c4d8">
  <xsd:schema xmlns:xsd="http://www.w3.org/2001/XMLSchema" xmlns:xs="http://www.w3.org/2001/XMLSchema" xmlns:p="http://schemas.microsoft.com/office/2006/metadata/properties" xmlns:ns3="cac6029e-92cf-4a15-ae1a-e1122b6255a7" targetNamespace="http://schemas.microsoft.com/office/2006/metadata/properties" ma:root="true" ma:fieldsID="27f8fd98a345392d2b6765b5b6c054fb" ns3:_="">
    <xsd:import namespace="cac6029e-92cf-4a15-ae1a-e1122b6255a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c6029e-92cf-4a15-ae1a-e1122b6255a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5B18F3-3164-4FC4-B62B-1E6D432059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c6029e-92cf-4a15-ae1a-e1122b6255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E1018E-EE8E-4FD1-84C7-AF2121A61239}">
  <ds:schemaRefs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cac6029e-92cf-4a15-ae1a-e1122b6255a7"/>
  </ds:schemaRefs>
</ds:datastoreItem>
</file>

<file path=customXml/itemProps3.xml><?xml version="1.0" encoding="utf-8"?>
<ds:datastoreItem xmlns:ds="http://schemas.openxmlformats.org/officeDocument/2006/customXml" ds:itemID="{6486E759-9B48-42E8-BE52-323EBF55E8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Nodes</vt:lpstr>
      <vt:lpstr>DMA_Bench</vt:lpstr>
      <vt:lpstr>SCIBench2</vt:lpstr>
      <vt:lpstr>SCIPP</vt:lpstr>
      <vt:lpstr>SCIMemcopyBench</vt:lpstr>
      <vt:lpstr>Intr_Bench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Niccum, Benjamin</dc:creator>
  <cp:lastModifiedBy>Benjamin Niccum</cp:lastModifiedBy>
  <dcterms:created xsi:type="dcterms:W3CDTF">2026-06-09T09:57:39Z</dcterms:created>
  <dcterms:modified xsi:type="dcterms:W3CDTF">2026-06-16T07:41:14Z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0x010100A6E1D73364BD0F458523F0E6CC988A51</vt:lpwstr>
  </property>
</Properties>
</file>